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Sheet1!$A$1:$AE$311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<sst xmlns="http://schemas.openxmlformats.org/spreadsheetml/2006/main" count="1337" uniqueCount="715">
  <si>
    <t>Number</t>
  </si>
  <si>
    <t>name</t>
  </si>
  <si>
    <t>age</t>
  </si>
  <si>
    <t>sex</t>
  </si>
  <si>
    <t>length mm</t>
  </si>
  <si>
    <t>dropped</t>
  </si>
  <si>
    <t>height</t>
  </si>
  <si>
    <t>weight</t>
  </si>
  <si>
    <t>BMI</t>
  </si>
  <si>
    <t>smoke</t>
  </si>
  <si>
    <t>drink</t>
  </si>
  <si>
    <t>hypertension</t>
  </si>
  <si>
    <t>diabetes</t>
  </si>
  <si>
    <t>time</t>
  </si>
  <si>
    <t>胫骨前肌</t>
  </si>
  <si>
    <t>拇背伸肌肌力</t>
  </si>
  <si>
    <t>疼痛？</t>
  </si>
  <si>
    <t>感觉障碍？</t>
  </si>
  <si>
    <t>JOA</t>
  </si>
  <si>
    <t>NRS/VAS</t>
  </si>
  <si>
    <t>椎间盘退化</t>
  </si>
  <si>
    <t>segment</t>
  </si>
  <si>
    <t>是否脱出/游离</t>
  </si>
  <si>
    <t>狭窄分级</t>
  </si>
  <si>
    <t>MSU分级</t>
  </si>
  <si>
    <t>MSU分区</t>
  </si>
  <si>
    <t>椎管骨性直径</t>
  </si>
  <si>
    <t>椎管最小直径</t>
  </si>
  <si>
    <t>椎管面积</t>
  </si>
  <si>
    <t>备注</t>
  </si>
  <si>
    <t>lch备注</t>
  </si>
  <si>
    <t>0001291748</t>
  </si>
  <si>
    <t>徐明远</t>
  </si>
  <si>
    <t>A</t>
  </si>
  <si>
    <t>B</t>
  </si>
  <si>
    <t>0003910035</t>
  </si>
  <si>
    <t>戚建德</t>
  </si>
  <si>
    <t>AB</t>
  </si>
  <si>
    <t>0腓总神经损伤</t>
  </si>
  <si>
    <t>0014502744</t>
  </si>
  <si>
    <t>陈玉英</t>
  </si>
  <si>
    <t>0014725204</t>
  </si>
  <si>
    <t>兰某知</t>
  </si>
  <si>
    <t>此往上重新看影像</t>
  </si>
  <si>
    <t>0013259903</t>
  </si>
  <si>
    <t>郑上元</t>
  </si>
  <si>
    <t>0014582477</t>
  </si>
  <si>
    <t>周上锁</t>
  </si>
  <si>
    <t>C</t>
  </si>
  <si>
    <t>0001205264</t>
  </si>
  <si>
    <t>陈冬兰</t>
  </si>
  <si>
    <t>D</t>
  </si>
  <si>
    <t>0002394263</t>
  </si>
  <si>
    <t>杨雪媚</t>
  </si>
  <si>
    <t>0014431640</t>
  </si>
  <si>
    <t>俞飞飞</t>
  </si>
  <si>
    <t>0001601159</t>
  </si>
  <si>
    <t>陈邦兴</t>
  </si>
  <si>
    <t>缺少MR</t>
  </si>
  <si>
    <t>0013874131</t>
  </si>
  <si>
    <t>徐强亨</t>
  </si>
  <si>
    <t>0001851595</t>
  </si>
  <si>
    <t>郑娟</t>
  </si>
  <si>
    <t>0001523614</t>
  </si>
  <si>
    <t>阮金霞</t>
  </si>
  <si>
    <t>0000382513</t>
  </si>
  <si>
    <t>任正武</t>
  </si>
  <si>
    <t>L3/4突出为主</t>
  </si>
  <si>
    <t>0002003612</t>
  </si>
  <si>
    <t>彭如岭</t>
  </si>
  <si>
    <t>0000734069</t>
  </si>
  <si>
    <t>黄初云</t>
  </si>
  <si>
    <t>0005498714</t>
  </si>
  <si>
    <t>赖立饱</t>
  </si>
  <si>
    <t>患者拒绝手术</t>
  </si>
  <si>
    <t>0002187073</t>
  </si>
  <si>
    <t>陈碎红</t>
  </si>
  <si>
    <t>0014198840</t>
  </si>
  <si>
    <t>黄洪亮</t>
  </si>
  <si>
    <t>0000169945</t>
  </si>
  <si>
    <t>任森杰</t>
  </si>
  <si>
    <t>足背伸肌力4级 脊髓型颈椎病术后</t>
  </si>
  <si>
    <t>0015180622</t>
  </si>
  <si>
    <t>黄兆旺</t>
  </si>
  <si>
    <t>L4/5椎间盘突出 术中描述L4神经根</t>
  </si>
  <si>
    <t>0003458205</t>
  </si>
  <si>
    <t>赵碎香</t>
  </si>
  <si>
    <r>
      <rPr>
        <sz val="11"/>
        <color theme="1"/>
        <rFont val="等线"/>
        <charset val="134"/>
        <scheme val="minor"/>
      </rPr>
      <t xml:space="preserve">合并终版炎  </t>
    </r>
    <r>
      <rPr>
        <sz val="11"/>
        <color rgb="FFFF0000"/>
        <rFont val="等线"/>
        <charset val="134"/>
        <scheme val="minor"/>
      </rPr>
      <t>缺少MR</t>
    </r>
  </si>
  <si>
    <t>0014680381</t>
  </si>
  <si>
    <t>叶阿凤</t>
  </si>
  <si>
    <t>严重腰椎椎管狭窄</t>
  </si>
  <si>
    <t>0015184581</t>
  </si>
  <si>
    <t>冯建国</t>
  </si>
  <si>
    <t>L4-S1锥体终版炎</t>
  </si>
  <si>
    <t>0014373023</t>
  </si>
  <si>
    <t>潘恩兰</t>
  </si>
  <si>
    <t>腰椎滑脱症</t>
  </si>
  <si>
    <t>0013231310</t>
  </si>
  <si>
    <t>陈知平</t>
  </si>
  <si>
    <t>患侧？8.10  健侧？？ L4/5右侧突出 L5/1左侧突出</t>
  </si>
  <si>
    <t>0001829618</t>
  </si>
  <si>
    <t>黄珍珍</t>
  </si>
  <si>
    <t>既往腰椎骨折十年</t>
  </si>
  <si>
    <t>0000884062</t>
  </si>
  <si>
    <t>金定珍</t>
  </si>
  <si>
    <t>0015183091</t>
  </si>
  <si>
    <t>谢秀云</t>
  </si>
  <si>
    <t>0015210398</t>
  </si>
  <si>
    <t>刘许菊</t>
  </si>
  <si>
    <t>患侧？5.72  健侧？</t>
  </si>
  <si>
    <t>0014238466</t>
  </si>
  <si>
    <t>李铁金</t>
  </si>
  <si>
    <t>0014735570</t>
  </si>
  <si>
    <t>徐秀华</t>
  </si>
  <si>
    <t>0003040778</t>
  </si>
  <si>
    <t>祝先利</t>
  </si>
  <si>
    <t>腰椎滑脱症 腰突不明显</t>
  </si>
  <si>
    <t>0000400230</t>
  </si>
  <si>
    <t>陈思施</t>
  </si>
  <si>
    <t>严重脱出</t>
  </si>
  <si>
    <t>0001600344</t>
  </si>
  <si>
    <t>陈思玉</t>
  </si>
  <si>
    <t>患者拒绝治疗</t>
  </si>
  <si>
    <t>0000018948</t>
  </si>
  <si>
    <t>陈蓓蕾</t>
  </si>
  <si>
    <t>自觉好转 保守治疗出院</t>
  </si>
  <si>
    <t>0001117247</t>
  </si>
  <si>
    <t>李修亮</t>
  </si>
  <si>
    <t>l4/5突出不显著</t>
  </si>
  <si>
    <t>0013909219</t>
  </si>
  <si>
    <t>林雪暖</t>
  </si>
  <si>
    <t>S1受压更严重</t>
  </si>
  <si>
    <t>0001828734</t>
  </si>
  <si>
    <t>李上飞</t>
  </si>
  <si>
    <t>0013864867</t>
  </si>
  <si>
    <t>兰加朗</t>
  </si>
  <si>
    <t>0002073724</t>
  </si>
  <si>
    <t>夏锦贤</t>
  </si>
  <si>
    <t>0004814949</t>
  </si>
  <si>
    <t>李尧宣</t>
  </si>
  <si>
    <t>诊断：L4/5腰椎椎管狭窄  术中：左侧S1压迫</t>
  </si>
  <si>
    <t>0002168984</t>
  </si>
  <si>
    <t>蔡钟银</t>
  </si>
  <si>
    <t>腰椎椎管狭窄伴腰椎间盘突出</t>
  </si>
  <si>
    <t>0000713499</t>
  </si>
  <si>
    <t>甘玉凤</t>
  </si>
  <si>
    <t>0000774524</t>
  </si>
  <si>
    <t>金向前</t>
  </si>
  <si>
    <t>0001885764</t>
  </si>
  <si>
    <t>周友凯</t>
  </si>
  <si>
    <t>影像主要表现为受压s1</t>
  </si>
  <si>
    <t>0013503226</t>
  </si>
  <si>
    <t>阮凤伟</t>
  </si>
  <si>
    <t>0013462552</t>
  </si>
  <si>
    <t>郑献明</t>
  </si>
  <si>
    <t>0000600307</t>
  </si>
  <si>
    <t>董林弟</t>
  </si>
  <si>
    <t>诊断：左足背伸乏力，左腓神经损伤</t>
  </si>
  <si>
    <t>0013182469</t>
  </si>
  <si>
    <t>左豪</t>
  </si>
  <si>
    <t>0012941592</t>
  </si>
  <si>
    <t>余严杨</t>
  </si>
  <si>
    <t>首程：右指长伸肌4级</t>
  </si>
  <si>
    <t>0006020665</t>
  </si>
  <si>
    <t>黄陈红</t>
  </si>
  <si>
    <t>0002486297</t>
  </si>
  <si>
    <t>林岩云</t>
  </si>
  <si>
    <t>基础病复杂 既往脑梗死 右上肢肌力下降</t>
  </si>
  <si>
    <t>0014941988</t>
  </si>
  <si>
    <t>姜延丽</t>
  </si>
  <si>
    <r>
      <rPr>
        <sz val="11"/>
        <color rgb="FFFF0000"/>
        <rFont val="等线"/>
        <charset val="134"/>
        <scheme val="minor"/>
      </rPr>
      <t>缺少MRI</t>
    </r>
    <r>
      <rPr>
        <sz val="11"/>
        <color theme="1"/>
        <rFont val="等线"/>
        <charset val="134"/>
        <scheme val="minor"/>
      </rPr>
      <t xml:space="preserve">  腰椎椎管狭窄L4/5 腰椎滑脱</t>
    </r>
  </si>
  <si>
    <t>0014559564</t>
  </si>
  <si>
    <t>胡玉三</t>
  </si>
  <si>
    <t>0003930348</t>
  </si>
  <si>
    <t>杨瑞林</t>
  </si>
  <si>
    <t>0000064230</t>
  </si>
  <si>
    <t>胡晓珍</t>
  </si>
  <si>
    <t>0004629323</t>
  </si>
  <si>
    <t>林玉庭</t>
  </si>
  <si>
    <t>0000186773</t>
  </si>
  <si>
    <t>王锡财</t>
  </si>
  <si>
    <t>0014484064</t>
  </si>
  <si>
    <t>张贤芬</t>
  </si>
  <si>
    <t>0002614250</t>
  </si>
  <si>
    <t>陈星</t>
  </si>
  <si>
    <t>0002866020</t>
  </si>
  <si>
    <t>宋运为</t>
  </si>
  <si>
    <t>0014497456</t>
  </si>
  <si>
    <t>周良政</t>
  </si>
  <si>
    <t>标签：腰椎间盘突出症L4/5 第二页24号</t>
  </si>
  <si>
    <t>0013419354</t>
  </si>
  <si>
    <t>章明选</t>
  </si>
  <si>
    <t>0002192768</t>
  </si>
  <si>
    <t>涂顺香</t>
  </si>
  <si>
    <t>0000276542</t>
  </si>
  <si>
    <t>项翠妹</t>
  </si>
  <si>
    <t>诊断：腰椎椎管狭窄（L4/5 黄韧带骨化）</t>
  </si>
  <si>
    <t>0013264044</t>
  </si>
  <si>
    <t>董朱香</t>
  </si>
  <si>
    <t>！！排除下肢不全瘫</t>
  </si>
  <si>
    <t>0002119028</t>
  </si>
  <si>
    <t>江美英</t>
  </si>
  <si>
    <t>0014399263</t>
  </si>
  <si>
    <t>孙传生</t>
  </si>
  <si>
    <t>0014299572</t>
  </si>
  <si>
    <t>周志南</t>
  </si>
  <si>
    <t>0000747290</t>
  </si>
  <si>
    <t>陆全成</t>
  </si>
  <si>
    <t>0014169461</t>
  </si>
  <si>
    <t>黄传静</t>
  </si>
  <si>
    <t>0004566276</t>
  </si>
  <si>
    <t>陈振岳</t>
  </si>
  <si>
    <t>0000069181</t>
  </si>
  <si>
    <t>曾建毅</t>
  </si>
  <si>
    <t>0002974325</t>
  </si>
  <si>
    <t>毕彦波</t>
  </si>
  <si>
    <t>0003058762</t>
  </si>
  <si>
    <t>余宝花</t>
  </si>
  <si>
    <t>0003504837</t>
  </si>
  <si>
    <t>杨青兰</t>
  </si>
  <si>
    <t>标签：腰椎间盘突出症L4/5 第二页40号</t>
  </si>
  <si>
    <t>0001751380</t>
  </si>
  <si>
    <t>陈其星</t>
  </si>
  <si>
    <t>0000801430</t>
  </si>
  <si>
    <t>周加森</t>
  </si>
  <si>
    <t>出院诊断：不完全性下肢0瘫  术中：L45椎间盘游离位于S1腋下部</t>
  </si>
  <si>
    <t>0001347704</t>
  </si>
  <si>
    <t>徐登荣</t>
  </si>
  <si>
    <t>0001592597</t>
  </si>
  <si>
    <t>章明才</t>
  </si>
  <si>
    <t>术中减压L4</t>
  </si>
  <si>
    <t>0000658848</t>
  </si>
  <si>
    <t>陈式英</t>
  </si>
  <si>
    <t>脱位导致MSU分级困难</t>
  </si>
  <si>
    <t>0001584869</t>
  </si>
  <si>
    <t>王小贵</t>
  </si>
  <si>
    <t>0000057999</t>
  </si>
  <si>
    <t>汪永乐</t>
  </si>
  <si>
    <t>0001728208</t>
  </si>
  <si>
    <t>林代欢</t>
  </si>
  <si>
    <t>0001570909</t>
  </si>
  <si>
    <t>董家树</t>
  </si>
  <si>
    <t>0001640495</t>
  </si>
  <si>
    <t>吴成水</t>
  </si>
  <si>
    <t>诊断不包括锥间盘突出，狭窄+黄韧带后纵韧带骨化</t>
  </si>
  <si>
    <t>0001874662</t>
  </si>
  <si>
    <t>陈增印</t>
  </si>
  <si>
    <t>0000547352</t>
  </si>
  <si>
    <t>周思琪</t>
  </si>
  <si>
    <t>0001325659</t>
  </si>
  <si>
    <t>陈少丹</t>
  </si>
  <si>
    <t>20年MR缺失 这里是25年的数据存在变异？</t>
  </si>
  <si>
    <t>2020.10.1</t>
  </si>
  <si>
    <t>0001973599</t>
  </si>
  <si>
    <t>陈崇足</t>
  </si>
  <si>
    <t>0000758387</t>
  </si>
  <si>
    <t>张蓬勃</t>
  </si>
  <si>
    <t>0002572839</t>
  </si>
  <si>
    <t>穆克星</t>
  </si>
  <si>
    <t>L3/4，L4/5突出</t>
  </si>
  <si>
    <t>0002496575</t>
  </si>
  <si>
    <t>陈吉芽</t>
  </si>
  <si>
    <t>脱位及黄韧带骨化严重</t>
  </si>
  <si>
    <t>0001894230</t>
  </si>
  <si>
    <t>夏利斌</t>
  </si>
  <si>
    <t>0001892567</t>
  </si>
  <si>
    <t>叶红秀</t>
  </si>
  <si>
    <t>0001224578</t>
  </si>
  <si>
    <t>周玉兰</t>
  </si>
  <si>
    <r>
      <rPr>
        <sz val="11"/>
        <color rgb="FFFF0000"/>
        <rFont val="等线"/>
        <charset val="134"/>
        <scheme val="minor"/>
      </rPr>
      <t>狭窄严重</t>
    </r>
    <r>
      <rPr>
        <sz val="11"/>
        <color theme="1"/>
        <rFont val="等线"/>
        <charset val="134"/>
        <scheme val="minor"/>
      </rPr>
      <t xml:space="preserve"> 影像不是特别清楚</t>
    </r>
  </si>
  <si>
    <t>0000802698</t>
  </si>
  <si>
    <t>李晓云</t>
  </si>
  <si>
    <t>2020.5.17</t>
  </si>
  <si>
    <t>0000824990</t>
  </si>
  <si>
    <t>王仁剑</t>
  </si>
  <si>
    <t>0013982390</t>
  </si>
  <si>
    <t>李永雷</t>
  </si>
  <si>
    <t>0013263996</t>
  </si>
  <si>
    <t>金忠平</t>
  </si>
  <si>
    <t>0013840592</t>
  </si>
  <si>
    <t>曾仁龙</t>
  </si>
  <si>
    <t>0013819252</t>
  </si>
  <si>
    <t>雷香娥</t>
  </si>
  <si>
    <t>0013536550</t>
  </si>
  <si>
    <t>杨计焕</t>
  </si>
  <si>
    <t>0001237803</t>
  </si>
  <si>
    <t>高新强</t>
  </si>
  <si>
    <t>肌力4级</t>
  </si>
  <si>
    <t>0000502096</t>
  </si>
  <si>
    <t>杨松周</t>
  </si>
  <si>
    <t>0013789002</t>
  </si>
  <si>
    <t>黄金娇</t>
  </si>
  <si>
    <t>0002428649</t>
  </si>
  <si>
    <t>王娇彩</t>
  </si>
  <si>
    <t>腰椎退行性变</t>
  </si>
  <si>
    <t>0001184193</t>
  </si>
  <si>
    <t>章小芽</t>
  </si>
  <si>
    <t>标签：腰椎间盘突出症L4/5 第3页60号</t>
  </si>
  <si>
    <t>0003363232</t>
  </si>
  <si>
    <t>邹秀英</t>
  </si>
  <si>
    <r>
      <rPr>
        <sz val="11"/>
        <color rgb="FFFF0000"/>
        <rFont val="等线"/>
        <charset val="134"/>
        <scheme val="minor"/>
      </rPr>
      <t>缺少MR</t>
    </r>
    <r>
      <rPr>
        <sz val="11"/>
        <color rgb="FFFF0000"/>
        <rFont val="等线"/>
        <charset val="134"/>
        <scheme val="minor"/>
      </rPr>
      <t xml:space="preserve"> 此行以上的注意segment 诊断中是否带有其他节段</t>
    </r>
  </si>
  <si>
    <t>0013756983</t>
  </si>
  <si>
    <t>向翠兰</t>
  </si>
  <si>
    <t>0013595897</t>
  </si>
  <si>
    <t>徐贤进</t>
  </si>
  <si>
    <t>0013618832</t>
  </si>
  <si>
    <t>詹守坤</t>
  </si>
  <si>
    <t>0001080745</t>
  </si>
  <si>
    <t>潘竹叶</t>
  </si>
  <si>
    <t>0004629463</t>
  </si>
  <si>
    <t>林祖珍</t>
  </si>
  <si>
    <r>
      <rPr>
        <sz val="11"/>
        <color rgb="FFFF0000"/>
        <rFont val="等线"/>
        <charset val="134"/>
        <scheme val="minor"/>
      </rPr>
      <t>缺少MR</t>
    </r>
    <r>
      <rPr>
        <sz val="11"/>
        <color theme="1"/>
        <rFont val="等线"/>
        <charset val="134"/>
        <scheme val="minor"/>
      </rPr>
      <t xml:space="preserve"> 肌力4级</t>
    </r>
  </si>
  <si>
    <t>0001388415</t>
  </si>
  <si>
    <t>王金秀</t>
  </si>
  <si>
    <t>0001707461</t>
  </si>
  <si>
    <t>吴美红</t>
  </si>
  <si>
    <t>0013555792</t>
  </si>
  <si>
    <t>叶飞挺</t>
  </si>
  <si>
    <t>标签：腰椎间盘突出症L4/5 第4页80号</t>
  </si>
  <si>
    <t>0013414339</t>
  </si>
  <si>
    <t>陈孝援</t>
  </si>
  <si>
    <t>0013343007</t>
  </si>
  <si>
    <t>王奕调</t>
  </si>
  <si>
    <t>0003555190</t>
  </si>
  <si>
    <t>丁振德</t>
  </si>
  <si>
    <t>0012926783</t>
  </si>
  <si>
    <t>胡万梭</t>
  </si>
  <si>
    <t>0013271794</t>
  </si>
  <si>
    <t>娄安建</t>
  </si>
  <si>
    <t>0001893812</t>
  </si>
  <si>
    <t>章学水</t>
  </si>
  <si>
    <t>0001672111</t>
  </si>
  <si>
    <t>胡媚银</t>
  </si>
  <si>
    <t>0015430938</t>
  </si>
  <si>
    <t>叶应根</t>
  </si>
  <si>
    <t>0001576338</t>
  </si>
  <si>
    <t>项小绸</t>
  </si>
  <si>
    <t>0015361384</t>
  </si>
  <si>
    <t>李美香</t>
  </si>
  <si>
    <t>胸椎术后 多节段关节炎</t>
  </si>
  <si>
    <t>0002396245</t>
  </si>
  <si>
    <t>夏帮林</t>
  </si>
  <si>
    <t>0014009010</t>
  </si>
  <si>
    <t>李崇钱</t>
  </si>
  <si>
    <t>0002162692</t>
  </si>
  <si>
    <t>王怀拣</t>
  </si>
  <si>
    <t>0001339604</t>
  </si>
  <si>
    <t>丁田水</t>
  </si>
  <si>
    <t>0015216216</t>
  </si>
  <si>
    <t>林明西</t>
  </si>
  <si>
    <t>0015199847</t>
  </si>
  <si>
    <t>林小倩</t>
  </si>
  <si>
    <t>MR：福鼎人民医院</t>
  </si>
  <si>
    <t>0002082213</t>
  </si>
  <si>
    <t>蔡金兴</t>
  </si>
  <si>
    <t>0001870055</t>
  </si>
  <si>
    <t>钟成坚</t>
  </si>
  <si>
    <t>0003100275</t>
  </si>
  <si>
    <t>陈钦健</t>
  </si>
  <si>
    <t>MR：苍南京城医院</t>
  </si>
  <si>
    <t>0001718963</t>
  </si>
  <si>
    <t>李海鸥</t>
  </si>
  <si>
    <t>0015036348</t>
  </si>
  <si>
    <t>邓英富</t>
  </si>
  <si>
    <t>0000463550</t>
  </si>
  <si>
    <t>杨斌</t>
  </si>
  <si>
    <t>0002413884</t>
  </si>
  <si>
    <t>文春明</t>
  </si>
  <si>
    <t>0002301346</t>
  </si>
  <si>
    <t>陈永博</t>
  </si>
  <si>
    <t>2024.11.03</t>
  </si>
  <si>
    <t>0014982516</t>
  </si>
  <si>
    <t>夏建华</t>
  </si>
  <si>
    <t>0014960203</t>
  </si>
  <si>
    <t>周银平</t>
  </si>
  <si>
    <t>0000848714</t>
  </si>
  <si>
    <t>林炳荣</t>
  </si>
  <si>
    <t>0001325352</t>
  </si>
  <si>
    <t>周传扣</t>
  </si>
  <si>
    <t>0005471857</t>
  </si>
  <si>
    <t>钟金平</t>
  </si>
  <si>
    <t>0014900118</t>
  </si>
  <si>
    <t>郑巨禾</t>
  </si>
  <si>
    <t>0003374770</t>
  </si>
  <si>
    <t>韦合民</t>
  </si>
  <si>
    <t>0014882832</t>
  </si>
  <si>
    <t>吴钱华</t>
  </si>
  <si>
    <t>0014851623</t>
  </si>
  <si>
    <t>林文武</t>
  </si>
  <si>
    <t>0014805154</t>
  </si>
  <si>
    <t>徐秀贞</t>
  </si>
  <si>
    <t>0002181062</t>
  </si>
  <si>
    <t>陈正康</t>
  </si>
  <si>
    <t>0014810922</t>
  </si>
  <si>
    <t>叶观雄</t>
  </si>
  <si>
    <t>2024.07.29</t>
  </si>
  <si>
    <t>0000178996</t>
  </si>
  <si>
    <t>张春华</t>
  </si>
  <si>
    <t>0000904796</t>
  </si>
  <si>
    <t>张玉仕</t>
  </si>
  <si>
    <t>0014775741</t>
  </si>
  <si>
    <t>蔡良福</t>
  </si>
  <si>
    <t>0014776106</t>
  </si>
  <si>
    <t>徐爱民</t>
  </si>
  <si>
    <t>0014682975</t>
  </si>
  <si>
    <t>陆爱民</t>
  </si>
  <si>
    <t>0003828619</t>
  </si>
  <si>
    <t>胡训兰</t>
  </si>
  <si>
    <t>0002060271</t>
  </si>
  <si>
    <t>陈茂湘</t>
  </si>
  <si>
    <t>0001030428</t>
  </si>
  <si>
    <t>郭秀阳</t>
  </si>
  <si>
    <t>0001314622</t>
  </si>
  <si>
    <t>陈少如</t>
  </si>
  <si>
    <t>0001145248</t>
  </si>
  <si>
    <t>项安祥</t>
  </si>
  <si>
    <t>缺少MR横断位？？</t>
  </si>
  <si>
    <t>0000059733</t>
  </si>
  <si>
    <t>林树立</t>
  </si>
  <si>
    <t>0000707417</t>
  </si>
  <si>
    <t>李邦俊</t>
  </si>
  <si>
    <t>0014657041</t>
  </si>
  <si>
    <t>冯桂满</t>
  </si>
  <si>
    <t>0014647966</t>
  </si>
  <si>
    <t>李敏鸿</t>
  </si>
  <si>
    <t>腰椎椎管占位性病变</t>
  </si>
  <si>
    <t>0001840245</t>
  </si>
  <si>
    <t>赵东利</t>
  </si>
  <si>
    <t>0014503136</t>
  </si>
  <si>
    <t>黄益清</t>
  </si>
  <si>
    <t>0000816097</t>
  </si>
  <si>
    <t>叶国华</t>
  </si>
  <si>
    <t>0002162615</t>
  </si>
  <si>
    <t>叶林娇</t>
  </si>
  <si>
    <t>0000784594</t>
  </si>
  <si>
    <t>郑月强</t>
  </si>
  <si>
    <t>0003011487</t>
  </si>
  <si>
    <t>邬小平</t>
  </si>
  <si>
    <t>0014399723</t>
  </si>
  <si>
    <t>唐腾腾</t>
  </si>
  <si>
    <t>0001091133</t>
  </si>
  <si>
    <t>陈益清</t>
  </si>
  <si>
    <t>0002973341</t>
  </si>
  <si>
    <t>刘玲肖</t>
  </si>
  <si>
    <t>0014395336</t>
  </si>
  <si>
    <t>颜水珍</t>
  </si>
  <si>
    <t>0013736021</t>
  </si>
  <si>
    <t>郑松良</t>
  </si>
  <si>
    <t>0001392272</t>
  </si>
  <si>
    <t>缪时忠</t>
  </si>
  <si>
    <t>2023.7.21</t>
  </si>
  <si>
    <t>0001995187</t>
  </si>
  <si>
    <t>阮世和</t>
  </si>
  <si>
    <t>0014283635</t>
  </si>
  <si>
    <t>李明才</t>
  </si>
  <si>
    <t>0001469870</t>
  </si>
  <si>
    <t>李慧</t>
  </si>
  <si>
    <t>0002193485</t>
  </si>
  <si>
    <t>蔡月香</t>
  </si>
  <si>
    <t>0014219639</t>
  </si>
  <si>
    <t>徐岩林</t>
  </si>
  <si>
    <t>0004473760</t>
  </si>
  <si>
    <t>郑冬花</t>
  </si>
  <si>
    <t>0002055196</t>
  </si>
  <si>
    <t>陈爱丽</t>
  </si>
  <si>
    <t>0002264080</t>
  </si>
  <si>
    <t>陈心怡</t>
  </si>
  <si>
    <t>0001150364</t>
  </si>
  <si>
    <t>王长云</t>
  </si>
  <si>
    <t>0003936534</t>
  </si>
  <si>
    <t>左会平</t>
  </si>
  <si>
    <t>0002537533</t>
  </si>
  <si>
    <t>陈永翠</t>
  </si>
  <si>
    <t>2023.2.15</t>
  </si>
  <si>
    <t>0014812571</t>
  </si>
  <si>
    <t>邬法友</t>
  </si>
  <si>
    <t>0013909971</t>
  </si>
  <si>
    <t>林细菊</t>
  </si>
  <si>
    <t>0013860405</t>
  </si>
  <si>
    <t>施光兴</t>
  </si>
  <si>
    <t>0013111553</t>
  </si>
  <si>
    <t>李嫦娥</t>
  </si>
  <si>
    <t>0013691698</t>
  </si>
  <si>
    <t>叶明建</t>
  </si>
  <si>
    <t>0001938248</t>
  </si>
  <si>
    <t>吴立清</t>
  </si>
  <si>
    <t>0002275375</t>
  </si>
  <si>
    <t>陈心明</t>
  </si>
  <si>
    <t>0001939672</t>
  </si>
  <si>
    <t>包金凤</t>
  </si>
  <si>
    <t>0013140324</t>
  </si>
  <si>
    <t>欧阳昆猛</t>
  </si>
  <si>
    <t>0013119391</t>
  </si>
  <si>
    <t>倪定长</t>
  </si>
  <si>
    <t>0005097995</t>
  </si>
  <si>
    <t>黄荣妹</t>
  </si>
  <si>
    <t>0003116227</t>
  </si>
  <si>
    <t>王娇妹</t>
  </si>
  <si>
    <t>0013089468</t>
  </si>
  <si>
    <t>陈士旺</t>
  </si>
  <si>
    <t>0013092516</t>
  </si>
  <si>
    <t>郑忠选</t>
  </si>
  <si>
    <t>0013072390</t>
  </si>
  <si>
    <t>彭晓红</t>
  </si>
  <si>
    <t>0001958549</t>
  </si>
  <si>
    <t>吴学永</t>
  </si>
  <si>
    <t>0004457287</t>
  </si>
  <si>
    <t>陈迪拨</t>
  </si>
  <si>
    <t>0014232673</t>
  </si>
  <si>
    <t>陈杏芳</t>
  </si>
  <si>
    <t>0014407791</t>
  </si>
  <si>
    <t>滕世光</t>
  </si>
  <si>
    <t>0014884583</t>
  </si>
  <si>
    <t>王冬连</t>
  </si>
  <si>
    <t>0014822079</t>
  </si>
  <si>
    <t>林李凤</t>
  </si>
  <si>
    <t>0013793144</t>
  </si>
  <si>
    <t>赵林钗</t>
  </si>
  <si>
    <t>0014476245</t>
  </si>
  <si>
    <t>张崇招</t>
  </si>
  <si>
    <t>0005923716</t>
  </si>
  <si>
    <t>陈丽金</t>
  </si>
  <si>
    <t>0014614354</t>
  </si>
  <si>
    <t>陈娅妮</t>
  </si>
  <si>
    <t>0002414872</t>
  </si>
  <si>
    <t>徐阿相</t>
  </si>
  <si>
    <t>0013739466</t>
  </si>
  <si>
    <t>陈显端</t>
  </si>
  <si>
    <t>0000624629</t>
  </si>
  <si>
    <t>吴学栋</t>
  </si>
  <si>
    <t>0002158706</t>
  </si>
  <si>
    <t>李立春</t>
  </si>
  <si>
    <t>0013539813</t>
  </si>
  <si>
    <t>林明桃</t>
  </si>
  <si>
    <t>0001944881</t>
  </si>
  <si>
    <t>许方旨</t>
  </si>
  <si>
    <t>0002584730</t>
  </si>
  <si>
    <t>吴俊亮</t>
  </si>
  <si>
    <t>0001039875</t>
  </si>
  <si>
    <t>张苗琴</t>
  </si>
  <si>
    <t>0014021595</t>
  </si>
  <si>
    <t>林秋琴</t>
  </si>
  <si>
    <t>0013957881</t>
  </si>
  <si>
    <t>田维贵</t>
  </si>
  <si>
    <t>0013880339</t>
  </si>
  <si>
    <t>潘秀荣</t>
  </si>
  <si>
    <t>0013558657</t>
  </si>
  <si>
    <t>肖邦</t>
  </si>
  <si>
    <t>峡部裂</t>
  </si>
  <si>
    <t>0004581320</t>
  </si>
  <si>
    <t>孟素香</t>
  </si>
  <si>
    <t>0000917262</t>
  </si>
  <si>
    <t>吴春华</t>
  </si>
  <si>
    <t>0001346429</t>
  </si>
  <si>
    <t>温作法</t>
  </si>
  <si>
    <t>0001878949</t>
  </si>
  <si>
    <t>刘化松</t>
  </si>
  <si>
    <t>0000650108</t>
  </si>
  <si>
    <t>焦志洪</t>
  </si>
  <si>
    <t>0002000037</t>
  </si>
  <si>
    <t>钟兆琮</t>
  </si>
  <si>
    <t>2021.8.20</t>
  </si>
  <si>
    <t>0005398659</t>
  </si>
  <si>
    <t>金冶雪</t>
  </si>
  <si>
    <t>0001402041</t>
  </si>
  <si>
    <t>王仲候</t>
  </si>
  <si>
    <t>0012952281</t>
  </si>
  <si>
    <t>林汝均</t>
  </si>
  <si>
    <t>0012945754</t>
  </si>
  <si>
    <t>黄旭楚</t>
  </si>
  <si>
    <t>十年前腰椎手术内镜治疗</t>
  </si>
  <si>
    <t>0000543283</t>
  </si>
  <si>
    <t>井清平</t>
  </si>
  <si>
    <t>0012923465</t>
  </si>
  <si>
    <t>林宣程</t>
  </si>
  <si>
    <t>2021.4.8</t>
  </si>
  <si>
    <t>0001538735</t>
  </si>
  <si>
    <t>林仕蕉</t>
  </si>
  <si>
    <t>0005502334</t>
  </si>
  <si>
    <t>周建荣</t>
  </si>
  <si>
    <t>拒绝手术</t>
  </si>
  <si>
    <t>0013273139</t>
  </si>
  <si>
    <t>黄圣孩</t>
  </si>
  <si>
    <t>0000646946</t>
  </si>
  <si>
    <t>张宪女每</t>
  </si>
  <si>
    <t>0000009724</t>
  </si>
  <si>
    <t>李尧斌</t>
  </si>
  <si>
    <t>0001848535</t>
  </si>
  <si>
    <t>周洪初</t>
  </si>
  <si>
    <t>0002581021</t>
  </si>
  <si>
    <t>柯翠娥</t>
  </si>
  <si>
    <t>月经未手术</t>
  </si>
  <si>
    <t>L4/5 王靖  到120</t>
  </si>
  <si>
    <t>0000709489</t>
  </si>
  <si>
    <t>陈光国</t>
  </si>
  <si>
    <t>0003885244</t>
  </si>
  <si>
    <t>郑苏姣</t>
  </si>
  <si>
    <t>0001092518</t>
  </si>
  <si>
    <t>李有平</t>
  </si>
  <si>
    <t>0000678669</t>
  </si>
  <si>
    <t>金燕微</t>
  </si>
  <si>
    <t>0000595768</t>
  </si>
  <si>
    <t>0000028431</t>
  </si>
  <si>
    <t>王连燕</t>
  </si>
  <si>
    <t>0003530253</t>
  </si>
  <si>
    <t>李侠</t>
  </si>
  <si>
    <t>0003613888</t>
  </si>
  <si>
    <t>彭仁传</t>
  </si>
  <si>
    <t>0002579508</t>
  </si>
  <si>
    <t>潘一帆</t>
  </si>
  <si>
    <t>0000449910</t>
  </si>
  <si>
    <t>董琼洁</t>
  </si>
  <si>
    <t>0000617692</t>
  </si>
  <si>
    <t>叶良妹</t>
  </si>
  <si>
    <t>0002074698</t>
  </si>
  <si>
    <t>涂林妹</t>
  </si>
  <si>
    <t>14811746</t>
  </si>
  <si>
    <t>周峰</t>
  </si>
  <si>
    <t>6433112</t>
  </si>
  <si>
    <t>周丹</t>
  </si>
  <si>
    <t>6560358</t>
  </si>
  <si>
    <t>孙婷</t>
  </si>
  <si>
    <t>10091075</t>
  </si>
  <si>
    <t>王建国</t>
  </si>
  <si>
    <t>4314296</t>
  </si>
  <si>
    <t>陈军</t>
  </si>
  <si>
    <t>13324816</t>
  </si>
  <si>
    <t>孙丹</t>
  </si>
  <si>
    <t>2244213</t>
  </si>
  <si>
    <t>张伟</t>
  </si>
  <si>
    <t>9968338</t>
  </si>
  <si>
    <t>张涛</t>
  </si>
  <si>
    <t>14595910</t>
  </si>
  <si>
    <t>高宇</t>
  </si>
  <si>
    <t>9534406</t>
  </si>
  <si>
    <t>12443219</t>
  </si>
  <si>
    <t>陈宇</t>
  </si>
  <si>
    <t>7213936</t>
  </si>
  <si>
    <t>赵玲</t>
  </si>
  <si>
    <t>14864991</t>
  </si>
  <si>
    <t>高欣</t>
  </si>
  <si>
    <t>9638243</t>
  </si>
  <si>
    <t>吴雪</t>
  </si>
  <si>
    <t>4482195</t>
  </si>
  <si>
    <t>马峰</t>
  </si>
  <si>
    <t>10536574</t>
  </si>
  <si>
    <t>何鹏飞</t>
  </si>
  <si>
    <t>4533393</t>
  </si>
  <si>
    <t>刘涛</t>
  </si>
  <si>
    <t>7414576</t>
  </si>
  <si>
    <t>赵雪</t>
  </si>
  <si>
    <t>4991229</t>
  </si>
  <si>
    <t>高超</t>
  </si>
  <si>
    <t>13963091</t>
  </si>
  <si>
    <t>刘亮</t>
  </si>
  <si>
    <t>1776615</t>
  </si>
  <si>
    <t>赵志强</t>
  </si>
  <si>
    <t>4531097</t>
  </si>
  <si>
    <t>李杰</t>
  </si>
  <si>
    <t>6029601</t>
  </si>
  <si>
    <t>胡娟</t>
  </si>
  <si>
    <t>3354493</t>
  </si>
  <si>
    <t>孙浩</t>
  </si>
  <si>
    <t>9190075</t>
  </si>
  <si>
    <t>罗超</t>
  </si>
  <si>
    <t>113079</t>
  </si>
  <si>
    <t>赵芳</t>
  </si>
  <si>
    <t>1272476</t>
  </si>
  <si>
    <t>王琪</t>
  </si>
  <si>
    <t>14874567</t>
  </si>
  <si>
    <t>胡勇</t>
  </si>
  <si>
    <t>9794357</t>
  </si>
  <si>
    <t>张燕</t>
  </si>
  <si>
    <t>5674513</t>
  </si>
  <si>
    <t>杨刚</t>
  </si>
  <si>
    <t>13582072</t>
  </si>
  <si>
    <t>周丽</t>
  </si>
  <si>
    <t>9705703</t>
  </si>
  <si>
    <t>王倩</t>
  </si>
  <si>
    <t>15176020</t>
  </si>
  <si>
    <t>吴颖</t>
  </si>
  <si>
    <t>9315372</t>
  </si>
  <si>
    <t>高勇</t>
  </si>
  <si>
    <t>5752790</t>
  </si>
  <si>
    <t>罗雨</t>
  </si>
  <si>
    <t>10652214</t>
  </si>
  <si>
    <t>何琪</t>
  </si>
  <si>
    <t>6123514</t>
  </si>
  <si>
    <t>孙燕</t>
  </si>
  <si>
    <t>11928741</t>
  </si>
  <si>
    <t>李军</t>
  </si>
  <si>
    <t>13247447</t>
  </si>
  <si>
    <t>何涛</t>
  </si>
  <si>
    <t>4731063</t>
  </si>
  <si>
    <t>何建华</t>
  </si>
  <si>
    <t>13240779</t>
  </si>
  <si>
    <t>何强</t>
  </si>
  <si>
    <t>9899274</t>
  </si>
  <si>
    <t>李涛</t>
  </si>
  <si>
    <t>12658361</t>
  </si>
  <si>
    <t>王伟</t>
  </si>
  <si>
    <t>3285433</t>
  </si>
  <si>
    <t>马强</t>
  </si>
  <si>
    <t>94378</t>
  </si>
  <si>
    <t>孙明</t>
  </si>
  <si>
    <t>5157305</t>
  </si>
  <si>
    <t>刘超</t>
  </si>
  <si>
    <t>1964078</t>
  </si>
  <si>
    <t>何娟</t>
  </si>
  <si>
    <t>10814514</t>
  </si>
  <si>
    <t>陈琪</t>
  </si>
  <si>
    <t>11873007</t>
  </si>
  <si>
    <t>李娟</t>
  </si>
  <si>
    <t>11051323</t>
  </si>
  <si>
    <t>徐梦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</si>
</sst>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1" fillId="0" borderId="0" xfId="0" applyFont="1"/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0" fillId="0" borderId="0" xfId="0" applyFont="1"/>
    <xf numFmtId="0" fontId="1" fillId="0" borderId="0" xfId="0" applyFont="1" applyFill="1" applyAlignment="1"/>
    <xf numFmtId="176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3"/>
  <sheetViews>
    <sheetView tabSelected="1" zoomScale="85" zoomScaleNormal="85" topLeftCell="B1" workbookViewId="0">
      <pane ySplit="1" topLeftCell="A227" activePane="bottomLeft" state="frozen"/>
      <selection/>
      <selection pane="bottomLeft" activeCell="K265" sqref="K265"/>
    </sheetView>
  </sheetViews>
  <sheetFormatPr defaultColWidth="9" defaultRowHeight="14"/>
  <cols>
    <col min="1" max="1" width="10.5833333333333" style="1" customWidth="1"/>
    <col min="2" max="2" width="13.1333333333333" customWidth="1"/>
    <col min="3" max="3" width="8.925" style="2" customWidth="1"/>
    <col min="4" max="4" width="6.86666666666667" customWidth="1"/>
    <col min="5" max="5" width="10.1" customWidth="1"/>
    <col min="6" max="6" width="7.91666666666667" customWidth="1"/>
    <col min="7" max="7" width="10.25" customWidth="1"/>
    <col min="8" max="8" width="8.91666666666667" style="2" customWidth="1"/>
    <col min="9" max="9" width="8.08333333333333" style="3" customWidth="1"/>
    <col min="10" max="10" width="8.08333333333333" customWidth="1"/>
    <col min="11" max="11" width="8.91666666666667" customWidth="1"/>
    <col min="12" max="12" width="10.5" customWidth="1"/>
    <col min="13" max="13" width="9.66666666666667" customWidth="1"/>
    <col min="14" max="14" width="7.91666666666667" customWidth="1"/>
    <col min="15" max="15" width="6.75" customWidth="1"/>
    <col min="16" max="16" width="7.5" customWidth="1"/>
    <col min="17" max="17" width="8.33333333333333" customWidth="1"/>
    <col min="18" max="18" width="9.5" customWidth="1"/>
    <col min="19" max="19" width="7.08333333333333" customWidth="1"/>
    <col min="20" max="20" width="7.41666666666667" customWidth="1"/>
    <col min="21" max="21" width="9.25" customWidth="1"/>
    <col min="22" max="24" width="13" customWidth="1"/>
    <col min="25" max="25" width="8.03333333333333" customWidth="1"/>
    <col min="26" max="30" width="13" customWidth="1"/>
    <col min="31" max="31" width="14.75" customWidth="1"/>
    <col min="32" max="32" width="10.6666666666667" customWidth="1"/>
  </cols>
  <sheetData>
    <row r="1" spans="1:31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t="s">
        <v>29</v>
      </c>
      <c r="AE1" s="3" t="s">
        <v>30</v>
      </c>
    </row>
    <row r="2" spans="1:31">
      <c r="A2" s="1" t="s">
        <v>31</v>
      </c>
      <c r="B2" t="s">
        <v>32</v>
      </c>
      <c r="C2" s="2">
        <v>55</v>
      </c>
      <c r="D2">
        <v>0</v>
      </c>
      <c r="E2">
        <v>4.55</v>
      </c>
      <c r="F2">
        <v>1</v>
      </c>
      <c r="G2">
        <v>166</v>
      </c>
      <c r="H2" s="2">
        <v>63</v>
      </c>
      <c r="I2" s="3">
        <f>H2/((G2/100)^2)</f>
        <v>22.8625344752504</v>
      </c>
      <c r="J2">
        <v>1</v>
      </c>
      <c r="K2">
        <v>1</v>
      </c>
      <c r="L2">
        <v>1</v>
      </c>
      <c r="M2">
        <v>0</v>
      </c>
      <c r="N2">
        <v>1</v>
      </c>
      <c r="O2">
        <v>3</v>
      </c>
      <c r="P2">
        <v>1</v>
      </c>
      <c r="Q2">
        <v>1</v>
      </c>
      <c r="R2">
        <v>1</v>
      </c>
      <c r="S2">
        <v>14</v>
      </c>
      <c r="T2">
        <v>4</v>
      </c>
      <c r="U2">
        <v>4</v>
      </c>
      <c r="V2">
        <v>1</v>
      </c>
      <c r="W2">
        <v>1</v>
      </c>
      <c r="X2" t="s">
        <v>33</v>
      </c>
      <c r="Y2">
        <v>2</v>
      </c>
      <c r="Z2" t="s">
        <v>34</v>
      </c>
      <c r="AA2">
        <v>19.1</v>
      </c>
      <c r="AB2">
        <v>10.06</v>
      </c>
      <c r="AC2">
        <v>92.5</v>
      </c>
    </row>
    <row r="3" spans="1:31">
      <c r="A3" s="1" t="s">
        <v>35</v>
      </c>
      <c r="B3" t="s">
        <v>36</v>
      </c>
      <c r="C3" s="2">
        <v>41</v>
      </c>
      <c r="D3">
        <v>0</v>
      </c>
      <c r="E3">
        <v>5.48</v>
      </c>
      <c r="F3">
        <v>1</v>
      </c>
      <c r="G3">
        <v>179</v>
      </c>
      <c r="H3" s="2">
        <v>80</v>
      </c>
      <c r="I3" s="3">
        <f t="shared" ref="I3:I9" si="0">H3/((G3/100)^2)</f>
        <v>24.9680097375238</v>
      </c>
      <c r="J3">
        <v>1</v>
      </c>
      <c r="K3">
        <v>1</v>
      </c>
      <c r="L3">
        <v>1</v>
      </c>
      <c r="M3">
        <v>0</v>
      </c>
      <c r="N3">
        <v>1</v>
      </c>
      <c r="O3">
        <v>5</v>
      </c>
      <c r="P3">
        <v>2</v>
      </c>
      <c r="Q3">
        <v>1</v>
      </c>
      <c r="R3">
        <v>1</v>
      </c>
      <c r="S3">
        <v>17</v>
      </c>
      <c r="T3">
        <v>5</v>
      </c>
      <c r="U3">
        <v>4</v>
      </c>
      <c r="V3">
        <v>1</v>
      </c>
      <c r="W3">
        <v>1</v>
      </c>
      <c r="X3" t="s">
        <v>34</v>
      </c>
      <c r="Y3">
        <v>2</v>
      </c>
      <c r="Z3" t="s">
        <v>37</v>
      </c>
      <c r="AA3">
        <v>19.91</v>
      </c>
      <c r="AB3">
        <v>9.1</v>
      </c>
      <c r="AC3">
        <v>120.52</v>
      </c>
      <c r="AD3" t="s">
        <v>38</v>
      </c>
    </row>
    <row r="4" spans="1:31">
      <c r="A4" s="1" t="s">
        <v>39</v>
      </c>
      <c r="B4" t="s">
        <v>40</v>
      </c>
      <c r="C4" s="2">
        <v>66</v>
      </c>
      <c r="D4">
        <v>1</v>
      </c>
      <c r="E4">
        <v>3.14</v>
      </c>
      <c r="F4">
        <v>1</v>
      </c>
      <c r="G4">
        <v>158</v>
      </c>
      <c r="H4" s="2">
        <v>55</v>
      </c>
      <c r="I4" s="3">
        <f t="shared" si="0"/>
        <v>22.0317256849864</v>
      </c>
      <c r="J4">
        <v>0</v>
      </c>
      <c r="K4">
        <v>0</v>
      </c>
      <c r="L4">
        <v>0</v>
      </c>
      <c r="M4">
        <v>0</v>
      </c>
      <c r="N4">
        <v>1</v>
      </c>
      <c r="O4">
        <v>2</v>
      </c>
      <c r="P4">
        <v>2</v>
      </c>
      <c r="Q4">
        <v>1</v>
      </c>
      <c r="R4">
        <v>0</v>
      </c>
      <c r="S4">
        <v>18</v>
      </c>
      <c r="T4">
        <v>4</v>
      </c>
      <c r="U4">
        <v>3</v>
      </c>
      <c r="V4">
        <v>1</v>
      </c>
      <c r="W4">
        <v>1</v>
      </c>
      <c r="X4" t="s">
        <v>33</v>
      </c>
      <c r="Y4">
        <v>2</v>
      </c>
      <c r="Z4" t="s">
        <v>37</v>
      </c>
      <c r="AA4">
        <v>19.06</v>
      </c>
      <c r="AB4">
        <v>10.23</v>
      </c>
      <c r="AC4">
        <v>159.45</v>
      </c>
    </row>
    <row r="5" spans="1:31">
      <c r="A5" s="1" t="s">
        <v>41</v>
      </c>
      <c r="B5" t="s">
        <v>42</v>
      </c>
      <c r="C5" s="2">
        <v>66</v>
      </c>
      <c r="D5">
        <v>1</v>
      </c>
      <c r="E5">
        <v>2.23</v>
      </c>
      <c r="F5">
        <v>1</v>
      </c>
      <c r="G5">
        <v>150</v>
      </c>
      <c r="H5" s="2">
        <v>55</v>
      </c>
      <c r="I5" s="3">
        <f t="shared" si="0"/>
        <v>24.4444444444444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18</v>
      </c>
      <c r="T5">
        <v>2</v>
      </c>
      <c r="U5">
        <v>4</v>
      </c>
      <c r="V5">
        <v>1</v>
      </c>
      <c r="W5">
        <v>0</v>
      </c>
      <c r="X5" t="s">
        <v>33</v>
      </c>
      <c r="Y5">
        <v>2</v>
      </c>
      <c r="Z5" t="s">
        <v>34</v>
      </c>
      <c r="AA5">
        <v>16.5</v>
      </c>
      <c r="AB5">
        <v>11.73</v>
      </c>
      <c r="AC5">
        <v>96.84</v>
      </c>
      <c r="AD5" t="s">
        <v>43</v>
      </c>
    </row>
    <row r="6" spans="1:31">
      <c r="A6" s="1" t="s">
        <v>44</v>
      </c>
      <c r="B6" t="s">
        <v>45</v>
      </c>
      <c r="C6" s="2">
        <v>67</v>
      </c>
      <c r="D6">
        <v>0</v>
      </c>
      <c r="E6">
        <v>6.06</v>
      </c>
      <c r="F6">
        <v>1</v>
      </c>
      <c r="G6">
        <v>180</v>
      </c>
      <c r="H6" s="2">
        <v>75</v>
      </c>
      <c r="I6" s="3">
        <f t="shared" si="0"/>
        <v>23.1481481481481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13</v>
      </c>
      <c r="T6">
        <v>3</v>
      </c>
      <c r="U6">
        <v>4</v>
      </c>
      <c r="V6">
        <v>1</v>
      </c>
      <c r="W6">
        <v>1</v>
      </c>
      <c r="X6" t="s">
        <v>33</v>
      </c>
      <c r="Y6">
        <v>2</v>
      </c>
      <c r="Z6" t="s">
        <v>37</v>
      </c>
      <c r="AA6">
        <v>17.39</v>
      </c>
      <c r="AB6">
        <v>8.93</v>
      </c>
      <c r="AC6">
        <v>120.44</v>
      </c>
    </row>
    <row r="7" spans="1:31">
      <c r="A7" s="1" t="s">
        <v>46</v>
      </c>
      <c r="B7" t="s">
        <v>47</v>
      </c>
      <c r="C7" s="2">
        <v>61</v>
      </c>
      <c r="D7">
        <v>0</v>
      </c>
      <c r="E7">
        <v>5.16</v>
      </c>
      <c r="F7">
        <v>1</v>
      </c>
      <c r="G7">
        <v>169</v>
      </c>
      <c r="H7" s="2">
        <v>80</v>
      </c>
      <c r="I7" s="3">
        <f t="shared" si="0"/>
        <v>28.0102237316621</v>
      </c>
      <c r="J7">
        <v>0</v>
      </c>
      <c r="K7">
        <v>0</v>
      </c>
      <c r="L7">
        <v>1</v>
      </c>
      <c r="M7">
        <v>0</v>
      </c>
      <c r="N7">
        <v>1</v>
      </c>
      <c r="O7">
        <v>3</v>
      </c>
      <c r="P7">
        <v>2</v>
      </c>
      <c r="Q7">
        <v>1</v>
      </c>
      <c r="R7">
        <v>1</v>
      </c>
      <c r="S7">
        <v>17</v>
      </c>
      <c r="T7">
        <v>6</v>
      </c>
      <c r="U7">
        <v>4</v>
      </c>
      <c r="V7">
        <v>0</v>
      </c>
      <c r="W7">
        <v>1</v>
      </c>
      <c r="X7" t="s">
        <v>48</v>
      </c>
      <c r="Y7">
        <v>2</v>
      </c>
      <c r="Z7" t="s">
        <v>37</v>
      </c>
      <c r="AA7">
        <v>23.33</v>
      </c>
      <c r="AB7">
        <v>9.13</v>
      </c>
      <c r="AC7">
        <v>180.77</v>
      </c>
    </row>
    <row r="8" spans="1:31">
      <c r="A8" s="1" t="s">
        <v>49</v>
      </c>
      <c r="B8" t="s">
        <v>50</v>
      </c>
      <c r="C8" s="2">
        <v>71</v>
      </c>
      <c r="D8">
        <v>1</v>
      </c>
      <c r="E8">
        <v>4.4</v>
      </c>
      <c r="F8">
        <v>1</v>
      </c>
      <c r="G8">
        <v>155</v>
      </c>
      <c r="H8" s="2">
        <v>60</v>
      </c>
      <c r="I8" s="3">
        <f t="shared" si="0"/>
        <v>24.9739854318418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18</v>
      </c>
      <c r="T8">
        <v>6</v>
      </c>
      <c r="U8">
        <v>5</v>
      </c>
      <c r="V8">
        <v>1</v>
      </c>
      <c r="W8">
        <v>0</v>
      </c>
      <c r="X8" t="s">
        <v>51</v>
      </c>
      <c r="Y8">
        <v>2</v>
      </c>
      <c r="Z8" t="s">
        <v>37</v>
      </c>
      <c r="AA8">
        <v>16.64</v>
      </c>
      <c r="AB8">
        <v>4.63</v>
      </c>
      <c r="AC8">
        <v>37.33</v>
      </c>
    </row>
    <row r="9" spans="1:31">
      <c r="A9" s="1" t="s">
        <v>52</v>
      </c>
      <c r="B9" t="s">
        <v>53</v>
      </c>
      <c r="C9" s="2">
        <v>72</v>
      </c>
      <c r="D9">
        <v>1</v>
      </c>
      <c r="E9">
        <v>2.21</v>
      </c>
      <c r="F9">
        <v>1</v>
      </c>
      <c r="G9">
        <v>160</v>
      </c>
      <c r="H9" s="2">
        <v>74</v>
      </c>
      <c r="I9" s="3">
        <f t="shared" si="0"/>
        <v>28.90625</v>
      </c>
      <c r="J9">
        <v>0</v>
      </c>
      <c r="K9">
        <v>0</v>
      </c>
      <c r="L9">
        <v>1</v>
      </c>
      <c r="M9">
        <v>0</v>
      </c>
      <c r="N9">
        <v>0</v>
      </c>
      <c r="O9">
        <v>3</v>
      </c>
      <c r="P9">
        <v>3</v>
      </c>
      <c r="Q9">
        <v>1</v>
      </c>
      <c r="R9">
        <v>1</v>
      </c>
      <c r="S9">
        <v>13</v>
      </c>
      <c r="T9">
        <v>5</v>
      </c>
      <c r="U9">
        <v>4</v>
      </c>
      <c r="V9">
        <v>1</v>
      </c>
      <c r="W9">
        <v>0</v>
      </c>
      <c r="X9" t="s">
        <v>48</v>
      </c>
      <c r="Y9">
        <v>2</v>
      </c>
      <c r="Z9" t="s">
        <v>37</v>
      </c>
      <c r="AA9">
        <v>18.53</v>
      </c>
      <c r="AB9">
        <v>6.86</v>
      </c>
      <c r="AC9">
        <v>67.3</v>
      </c>
    </row>
    <row r="10" spans="1:31">
      <c r="A10" s="1" t="s">
        <v>54</v>
      </c>
      <c r="B10" t="s">
        <v>55</v>
      </c>
      <c r="C10" s="2">
        <v>70</v>
      </c>
      <c r="D10">
        <v>1</v>
      </c>
      <c r="E10">
        <v>-0.56</v>
      </c>
      <c r="F10">
        <v>1</v>
      </c>
      <c r="G10">
        <v>156</v>
      </c>
      <c r="H10" s="2">
        <v>49.5</v>
      </c>
      <c r="I10" s="3">
        <f t="shared" ref="I10:I73" si="1">H10/((G10/100)^2)</f>
        <v>20.3402366863905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15</v>
      </c>
      <c r="T10">
        <v>7</v>
      </c>
      <c r="U10">
        <v>4</v>
      </c>
      <c r="V10">
        <v>0</v>
      </c>
      <c r="W10">
        <v>0</v>
      </c>
      <c r="X10" t="s">
        <v>33</v>
      </c>
      <c r="Y10">
        <v>2</v>
      </c>
      <c r="Z10" t="s">
        <v>34</v>
      </c>
      <c r="AA10">
        <v>20.19</v>
      </c>
      <c r="AB10">
        <v>13.83</v>
      </c>
      <c r="AC10">
        <v>183.2</v>
      </c>
    </row>
    <row r="11" spans="1:31">
      <c r="A11" s="1" t="s">
        <v>56</v>
      </c>
      <c r="B11" t="s">
        <v>57</v>
      </c>
      <c r="C11" s="2">
        <v>45</v>
      </c>
      <c r="D11">
        <v>0</v>
      </c>
      <c r="E11">
        <v>2.86</v>
      </c>
      <c r="F11">
        <v>1</v>
      </c>
      <c r="G11">
        <v>174</v>
      </c>
      <c r="H11" s="2">
        <v>75</v>
      </c>
      <c r="I11" s="3">
        <f t="shared" si="1"/>
        <v>24.7720967102656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13</v>
      </c>
      <c r="T11">
        <v>6</v>
      </c>
      <c r="U11">
        <v>3</v>
      </c>
      <c r="V11">
        <v>1</v>
      </c>
      <c r="W11">
        <v>1</v>
      </c>
      <c r="X11" t="s">
        <v>51</v>
      </c>
      <c r="Y11">
        <v>2</v>
      </c>
      <c r="Z11" t="s">
        <v>37</v>
      </c>
      <c r="AA11">
        <v>14.38</v>
      </c>
      <c r="AB11">
        <v>7.61</v>
      </c>
      <c r="AC11">
        <v>78.22</v>
      </c>
      <c r="AD11" s="4" t="s">
        <v>58</v>
      </c>
    </row>
    <row r="12" spans="1:31">
      <c r="A12" s="1" t="s">
        <v>59</v>
      </c>
      <c r="B12" t="s">
        <v>60</v>
      </c>
      <c r="C12" s="2">
        <v>60</v>
      </c>
      <c r="D12">
        <v>0</v>
      </c>
      <c r="E12">
        <v>5.33</v>
      </c>
      <c r="F12">
        <v>1</v>
      </c>
      <c r="G12">
        <v>168</v>
      </c>
      <c r="H12" s="2">
        <v>80</v>
      </c>
      <c r="I12" s="3">
        <f t="shared" si="1"/>
        <v>28.3446712018141</v>
      </c>
      <c r="J12">
        <v>1</v>
      </c>
      <c r="K12">
        <v>1</v>
      </c>
      <c r="L12">
        <v>0</v>
      </c>
      <c r="M12">
        <v>0</v>
      </c>
      <c r="N12">
        <v>0</v>
      </c>
      <c r="O12">
        <v>4</v>
      </c>
      <c r="P12">
        <v>0</v>
      </c>
      <c r="Q12">
        <v>1</v>
      </c>
      <c r="R12">
        <v>1</v>
      </c>
      <c r="S12">
        <v>12</v>
      </c>
      <c r="T12">
        <v>4</v>
      </c>
      <c r="U12">
        <v>3</v>
      </c>
      <c r="V12">
        <v>1</v>
      </c>
      <c r="W12">
        <v>0</v>
      </c>
      <c r="X12" t="s">
        <v>48</v>
      </c>
      <c r="Y12">
        <v>2</v>
      </c>
      <c r="Z12" t="s">
        <v>37</v>
      </c>
      <c r="AA12">
        <v>16.6</v>
      </c>
      <c r="AB12">
        <v>9.61</v>
      </c>
      <c r="AC12">
        <v>80.12</v>
      </c>
    </row>
    <row r="13" spans="1:31">
      <c r="A13" s="1" t="s">
        <v>61</v>
      </c>
      <c r="B13" t="s">
        <v>62</v>
      </c>
      <c r="C13" s="2">
        <v>71</v>
      </c>
      <c r="D13">
        <v>1</v>
      </c>
      <c r="E13">
        <v>5.53</v>
      </c>
      <c r="F13">
        <v>0</v>
      </c>
      <c r="G13">
        <v>153</v>
      </c>
      <c r="H13" s="2">
        <v>47.5</v>
      </c>
      <c r="I13" s="3">
        <f t="shared" si="1"/>
        <v>20.2913409372464</v>
      </c>
      <c r="J13">
        <v>0</v>
      </c>
      <c r="K13">
        <v>0</v>
      </c>
      <c r="L13">
        <v>1</v>
      </c>
      <c r="M13">
        <v>0</v>
      </c>
      <c r="N13">
        <v>1</v>
      </c>
      <c r="O13">
        <v>5</v>
      </c>
      <c r="P13">
        <v>4</v>
      </c>
      <c r="Q13">
        <v>1</v>
      </c>
      <c r="R13">
        <v>1</v>
      </c>
      <c r="S13">
        <v>16</v>
      </c>
      <c r="T13">
        <v>4</v>
      </c>
      <c r="U13">
        <v>5</v>
      </c>
      <c r="V13">
        <v>1</v>
      </c>
      <c r="W13">
        <v>1</v>
      </c>
      <c r="X13" t="s">
        <v>34</v>
      </c>
      <c r="Y13">
        <v>2</v>
      </c>
      <c r="Z13" t="s">
        <v>37</v>
      </c>
      <c r="AA13">
        <v>18.87</v>
      </c>
      <c r="AB13">
        <v>8.03</v>
      </c>
      <c r="AC13">
        <v>89.49</v>
      </c>
    </row>
    <row r="14" spans="1:31">
      <c r="A14" s="1" t="s">
        <v>63</v>
      </c>
      <c r="B14" t="s">
        <v>64</v>
      </c>
      <c r="C14" s="2">
        <v>61</v>
      </c>
      <c r="D14">
        <v>1</v>
      </c>
      <c r="E14">
        <v>9.76</v>
      </c>
      <c r="F14">
        <v>1</v>
      </c>
      <c r="G14">
        <v>160</v>
      </c>
      <c r="H14" s="2">
        <v>55</v>
      </c>
      <c r="I14" s="3">
        <f t="shared" si="1"/>
        <v>21.484375</v>
      </c>
      <c r="J14">
        <v>0</v>
      </c>
      <c r="K14">
        <v>0</v>
      </c>
      <c r="L14">
        <v>1</v>
      </c>
      <c r="M14">
        <v>0</v>
      </c>
      <c r="N14">
        <v>1</v>
      </c>
      <c r="O14">
        <v>3</v>
      </c>
      <c r="P14">
        <v>3</v>
      </c>
      <c r="Q14">
        <v>1</v>
      </c>
      <c r="R14">
        <v>1</v>
      </c>
      <c r="S14">
        <v>17</v>
      </c>
      <c r="T14">
        <v>3</v>
      </c>
      <c r="U14">
        <v>3</v>
      </c>
      <c r="V14">
        <v>0</v>
      </c>
      <c r="W14">
        <v>1</v>
      </c>
      <c r="X14" t="s">
        <v>51</v>
      </c>
      <c r="Y14">
        <v>3</v>
      </c>
      <c r="Z14" t="s">
        <v>37</v>
      </c>
      <c r="AA14">
        <v>20.57</v>
      </c>
      <c r="AB14">
        <v>4.07</v>
      </c>
      <c r="AC14">
        <v>61.32</v>
      </c>
    </row>
    <row r="15" spans="1:31">
      <c r="A15" s="1" t="s">
        <v>65</v>
      </c>
      <c r="B15" t="s">
        <v>66</v>
      </c>
      <c r="C15" s="2">
        <v>48</v>
      </c>
      <c r="D15">
        <v>0</v>
      </c>
      <c r="E15">
        <v>14.63</v>
      </c>
      <c r="F15">
        <v>0</v>
      </c>
      <c r="G15">
        <v>172</v>
      </c>
      <c r="H15" s="2">
        <v>80</v>
      </c>
      <c r="I15" s="3">
        <f t="shared" si="1"/>
        <v>27.0416441319632</v>
      </c>
      <c r="J15">
        <v>0</v>
      </c>
      <c r="K15">
        <v>1</v>
      </c>
      <c r="L15">
        <v>0</v>
      </c>
      <c r="M15">
        <v>0</v>
      </c>
      <c r="N15">
        <v>1</v>
      </c>
      <c r="O15">
        <v>5</v>
      </c>
      <c r="P15">
        <v>5</v>
      </c>
      <c r="Q15">
        <v>1</v>
      </c>
      <c r="R15">
        <v>1</v>
      </c>
      <c r="S15">
        <v>21</v>
      </c>
      <c r="T15">
        <v>3</v>
      </c>
      <c r="U15">
        <v>4</v>
      </c>
      <c r="V15">
        <v>1</v>
      </c>
      <c r="W15">
        <v>0</v>
      </c>
      <c r="X15" t="s">
        <v>34</v>
      </c>
      <c r="Y15">
        <v>2</v>
      </c>
      <c r="Z15" t="s">
        <v>37</v>
      </c>
      <c r="AA15">
        <v>17.73</v>
      </c>
      <c r="AB15">
        <v>7.61</v>
      </c>
      <c r="AC15">
        <v>110.6</v>
      </c>
      <c r="AD15" t="s">
        <v>67</v>
      </c>
    </row>
    <row r="16" spans="1:31">
      <c r="A16" s="1" t="s">
        <v>68</v>
      </c>
      <c r="B16" t="s">
        <v>69</v>
      </c>
      <c r="C16" s="2">
        <v>76</v>
      </c>
      <c r="D16">
        <v>0</v>
      </c>
      <c r="E16">
        <v>4.38</v>
      </c>
      <c r="F16">
        <v>0</v>
      </c>
      <c r="G16">
        <v>158</v>
      </c>
      <c r="H16" s="2">
        <v>70</v>
      </c>
      <c r="I16" s="3">
        <f t="shared" si="1"/>
        <v>28.0403781445281</v>
      </c>
      <c r="J16">
        <v>1</v>
      </c>
      <c r="K16">
        <v>0</v>
      </c>
      <c r="L16">
        <v>1</v>
      </c>
      <c r="M16">
        <v>0</v>
      </c>
      <c r="N16">
        <v>0</v>
      </c>
      <c r="O16">
        <v>5</v>
      </c>
      <c r="P16">
        <v>5</v>
      </c>
      <c r="Q16">
        <v>1</v>
      </c>
      <c r="R16">
        <v>1</v>
      </c>
      <c r="S16">
        <v>18</v>
      </c>
      <c r="T16">
        <v>6</v>
      </c>
      <c r="U16">
        <v>4</v>
      </c>
      <c r="V16">
        <v>1</v>
      </c>
      <c r="W16">
        <v>0</v>
      </c>
      <c r="X16" t="s">
        <v>48</v>
      </c>
      <c r="Y16">
        <v>2</v>
      </c>
      <c r="Z16" t="s">
        <v>37</v>
      </c>
      <c r="AA16">
        <v>17.31</v>
      </c>
      <c r="AB16">
        <v>6.06</v>
      </c>
      <c r="AC16">
        <v>84.8</v>
      </c>
    </row>
    <row r="17" spans="1:30">
      <c r="A17" s="1" t="s">
        <v>70</v>
      </c>
      <c r="B17" t="s">
        <v>71</v>
      </c>
      <c r="C17" s="2">
        <v>51</v>
      </c>
      <c r="D17">
        <v>0</v>
      </c>
      <c r="E17">
        <v>4.66</v>
      </c>
      <c r="F17">
        <v>1</v>
      </c>
      <c r="G17">
        <v>165</v>
      </c>
      <c r="H17" s="2">
        <v>59</v>
      </c>
      <c r="I17" s="3">
        <f t="shared" si="1"/>
        <v>21.6712580348944</v>
      </c>
      <c r="J17">
        <v>1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12</v>
      </c>
      <c r="T17">
        <v>6</v>
      </c>
      <c r="U17">
        <v>4</v>
      </c>
      <c r="V17">
        <v>1</v>
      </c>
      <c r="W17">
        <v>1</v>
      </c>
      <c r="X17" t="s">
        <v>33</v>
      </c>
      <c r="Y17">
        <v>2</v>
      </c>
      <c r="Z17" t="s">
        <v>37</v>
      </c>
      <c r="AA17">
        <v>20.4</v>
      </c>
      <c r="AB17">
        <v>10.69</v>
      </c>
      <c r="AC17">
        <v>124.76</v>
      </c>
    </row>
    <row r="18" spans="1:30">
      <c r="A18" s="1" t="s">
        <v>72</v>
      </c>
      <c r="B18" t="s">
        <v>73</v>
      </c>
      <c r="C18" s="2">
        <v>74</v>
      </c>
      <c r="D18">
        <v>0</v>
      </c>
      <c r="E18">
        <v>6.31</v>
      </c>
      <c r="F18">
        <v>1</v>
      </c>
      <c r="G18">
        <v>156</v>
      </c>
      <c r="H18" s="2">
        <v>70</v>
      </c>
      <c r="I18" s="3">
        <f t="shared" si="1"/>
        <v>28.7639710716634</v>
      </c>
      <c r="J18">
        <v>0</v>
      </c>
      <c r="K18">
        <v>1</v>
      </c>
      <c r="L18">
        <v>1</v>
      </c>
      <c r="M18">
        <v>0</v>
      </c>
      <c r="N18">
        <v>1</v>
      </c>
      <c r="O18">
        <v>4</v>
      </c>
      <c r="P18">
        <v>3</v>
      </c>
      <c r="Q18">
        <v>1</v>
      </c>
      <c r="R18">
        <v>1</v>
      </c>
      <c r="S18">
        <v>17</v>
      </c>
      <c r="T18">
        <v>6</v>
      </c>
      <c r="U18">
        <v>4</v>
      </c>
      <c r="V18">
        <v>1</v>
      </c>
      <c r="W18">
        <v>0</v>
      </c>
      <c r="X18" t="s">
        <v>34</v>
      </c>
      <c r="Y18">
        <v>1</v>
      </c>
      <c r="Z18" t="s">
        <v>37</v>
      </c>
      <c r="AA18">
        <v>15.86</v>
      </c>
      <c r="AB18">
        <v>8.2</v>
      </c>
      <c r="AC18">
        <v>91.62</v>
      </c>
      <c r="AD18" t="s">
        <v>74</v>
      </c>
    </row>
    <row r="19" spans="1:30">
      <c r="A19" s="1" t="s">
        <v>75</v>
      </c>
      <c r="B19" t="s">
        <v>76</v>
      </c>
      <c r="C19" s="2">
        <v>71</v>
      </c>
      <c r="D19">
        <v>1</v>
      </c>
      <c r="E19">
        <v>5.39</v>
      </c>
      <c r="F19">
        <v>1</v>
      </c>
      <c r="G19">
        <v>162</v>
      </c>
      <c r="H19" s="2">
        <v>65</v>
      </c>
      <c r="I19" s="3">
        <f t="shared" si="1"/>
        <v>24.7675659198293</v>
      </c>
      <c r="J19">
        <v>0</v>
      </c>
      <c r="K19">
        <v>0</v>
      </c>
      <c r="L19">
        <v>0</v>
      </c>
      <c r="M19">
        <v>0</v>
      </c>
      <c r="N19">
        <v>1</v>
      </c>
      <c r="O19">
        <v>4</v>
      </c>
      <c r="P19">
        <v>3</v>
      </c>
      <c r="Q19">
        <v>1</v>
      </c>
      <c r="R19">
        <v>1</v>
      </c>
      <c r="S19">
        <v>16</v>
      </c>
      <c r="T19">
        <v>4</v>
      </c>
      <c r="U19">
        <v>5</v>
      </c>
      <c r="V19">
        <v>1</v>
      </c>
      <c r="W19">
        <v>0</v>
      </c>
      <c r="X19" t="s">
        <v>48</v>
      </c>
      <c r="Y19">
        <v>2</v>
      </c>
      <c r="Z19" t="s">
        <v>37</v>
      </c>
      <c r="AA19">
        <v>17.79</v>
      </c>
      <c r="AB19">
        <v>5.41</v>
      </c>
      <c r="AC19">
        <v>69.25</v>
      </c>
    </row>
    <row r="20" spans="1:30">
      <c r="A20" s="1" t="s">
        <v>77</v>
      </c>
      <c r="B20" t="s">
        <v>78</v>
      </c>
      <c r="C20" s="2">
        <v>53</v>
      </c>
      <c r="D20">
        <v>0</v>
      </c>
      <c r="E20">
        <v>8.38</v>
      </c>
      <c r="F20">
        <v>1</v>
      </c>
      <c r="G20">
        <v>162</v>
      </c>
      <c r="H20" s="2">
        <v>72</v>
      </c>
      <c r="I20" s="3">
        <f t="shared" si="1"/>
        <v>27.4348422496571</v>
      </c>
      <c r="J20">
        <v>0</v>
      </c>
      <c r="K20">
        <v>1</v>
      </c>
      <c r="L20">
        <v>0</v>
      </c>
      <c r="M20">
        <v>0</v>
      </c>
      <c r="N20">
        <v>0</v>
      </c>
      <c r="O20">
        <v>2</v>
      </c>
      <c r="P20">
        <v>2</v>
      </c>
      <c r="Q20">
        <v>1</v>
      </c>
      <c r="R20">
        <v>1</v>
      </c>
      <c r="S20">
        <v>16</v>
      </c>
      <c r="T20">
        <v>6</v>
      </c>
      <c r="U20">
        <v>4</v>
      </c>
      <c r="V20">
        <v>1</v>
      </c>
      <c r="W20">
        <v>0</v>
      </c>
      <c r="X20" t="s">
        <v>51</v>
      </c>
      <c r="Y20">
        <v>2</v>
      </c>
      <c r="Z20" t="s">
        <v>37</v>
      </c>
      <c r="AA20">
        <v>12.62</v>
      </c>
      <c r="AB20">
        <v>8.26</v>
      </c>
      <c r="AC20">
        <v>34.73</v>
      </c>
    </row>
    <row r="21" spans="1:30">
      <c r="A21" s="1" t="s">
        <v>79</v>
      </c>
      <c r="B21" t="s">
        <v>80</v>
      </c>
      <c r="C21" s="2">
        <v>71</v>
      </c>
      <c r="D21">
        <v>0</v>
      </c>
      <c r="E21">
        <v>6.3</v>
      </c>
      <c r="F21">
        <v>1</v>
      </c>
      <c r="G21">
        <v>173</v>
      </c>
      <c r="H21" s="2">
        <v>75</v>
      </c>
      <c r="I21" s="3">
        <f t="shared" si="1"/>
        <v>25.0593070266297</v>
      </c>
      <c r="J21">
        <v>0</v>
      </c>
      <c r="K21">
        <v>1</v>
      </c>
      <c r="L21">
        <v>1</v>
      </c>
      <c r="M21">
        <v>0</v>
      </c>
      <c r="N21">
        <v>1</v>
      </c>
      <c r="O21">
        <v>4</v>
      </c>
      <c r="P21">
        <v>3</v>
      </c>
      <c r="Q21">
        <v>1</v>
      </c>
      <c r="R21">
        <v>0</v>
      </c>
      <c r="S21">
        <v>19</v>
      </c>
      <c r="T21">
        <v>5</v>
      </c>
      <c r="U21">
        <v>4</v>
      </c>
      <c r="V21">
        <v>0</v>
      </c>
      <c r="W21">
        <v>1</v>
      </c>
      <c r="X21" t="s">
        <v>48</v>
      </c>
      <c r="Y21">
        <v>2</v>
      </c>
      <c r="Z21" t="s">
        <v>37</v>
      </c>
      <c r="AA21">
        <v>16.13</v>
      </c>
      <c r="AB21">
        <v>9.63</v>
      </c>
      <c r="AC21">
        <v>113.93</v>
      </c>
      <c r="AD21" s="4" t="s">
        <v>81</v>
      </c>
    </row>
    <row r="22" spans="1:30">
      <c r="A22" s="1" t="s">
        <v>82</v>
      </c>
      <c r="B22" t="s">
        <v>83</v>
      </c>
      <c r="C22" s="2">
        <v>60</v>
      </c>
      <c r="D22">
        <v>0</v>
      </c>
      <c r="E22">
        <v>12.28</v>
      </c>
      <c r="F22">
        <v>0</v>
      </c>
      <c r="G22">
        <v>172</v>
      </c>
      <c r="H22" s="2">
        <v>71</v>
      </c>
      <c r="I22" s="3">
        <f t="shared" si="1"/>
        <v>23.9994591671174</v>
      </c>
      <c r="J22">
        <v>1</v>
      </c>
      <c r="K22">
        <v>0</v>
      </c>
      <c r="L22">
        <v>1</v>
      </c>
      <c r="M22">
        <v>0</v>
      </c>
      <c r="N22">
        <v>0</v>
      </c>
      <c r="O22">
        <v>5</v>
      </c>
      <c r="P22">
        <v>5</v>
      </c>
      <c r="Q22">
        <v>1</v>
      </c>
      <c r="R22">
        <v>1</v>
      </c>
      <c r="S22">
        <v>17</v>
      </c>
      <c r="T22">
        <v>7</v>
      </c>
      <c r="U22">
        <v>4</v>
      </c>
      <c r="V22">
        <v>1</v>
      </c>
      <c r="W22">
        <v>0</v>
      </c>
      <c r="X22" t="s">
        <v>33</v>
      </c>
      <c r="Y22">
        <v>2</v>
      </c>
      <c r="Z22" t="s">
        <v>37</v>
      </c>
      <c r="AA22">
        <v>20.62</v>
      </c>
      <c r="AB22">
        <v>13.28</v>
      </c>
      <c r="AC22">
        <v>144.43</v>
      </c>
      <c r="AD22" t="s">
        <v>84</v>
      </c>
    </row>
    <row r="23" spans="1:30">
      <c r="A23" s="1" t="s">
        <v>85</v>
      </c>
      <c r="B23" t="s">
        <v>86</v>
      </c>
      <c r="C23" s="2">
        <v>57</v>
      </c>
      <c r="D23">
        <v>1</v>
      </c>
      <c r="E23">
        <v>6.63</v>
      </c>
      <c r="F23">
        <v>0</v>
      </c>
      <c r="G23">
        <v>163</v>
      </c>
      <c r="H23" s="2">
        <v>54</v>
      </c>
      <c r="I23" s="3">
        <f t="shared" si="1"/>
        <v>20.3244382551093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5</v>
      </c>
      <c r="Q23">
        <v>1</v>
      </c>
      <c r="R23">
        <v>1</v>
      </c>
      <c r="S23">
        <v>19</v>
      </c>
      <c r="T23">
        <v>8</v>
      </c>
      <c r="U23">
        <v>3</v>
      </c>
      <c r="V23">
        <v>1</v>
      </c>
      <c r="W23">
        <v>1</v>
      </c>
      <c r="X23" t="s">
        <v>34</v>
      </c>
      <c r="Y23">
        <v>2</v>
      </c>
      <c r="Z23" t="s">
        <v>37</v>
      </c>
      <c r="AA23">
        <v>17.48</v>
      </c>
      <c r="AB23">
        <v>12.92</v>
      </c>
      <c r="AC23">
        <v>130.82</v>
      </c>
      <c r="AD23" t="s">
        <v>87</v>
      </c>
    </row>
    <row r="24" spans="1:30">
      <c r="A24" s="1" t="s">
        <v>88</v>
      </c>
      <c r="B24" t="s">
        <v>89</v>
      </c>
      <c r="C24" s="2">
        <v>72</v>
      </c>
      <c r="D24">
        <v>1</v>
      </c>
      <c r="E24">
        <v>6.53</v>
      </c>
      <c r="F24">
        <v>0</v>
      </c>
      <c r="G24">
        <v>155</v>
      </c>
      <c r="H24" s="2">
        <v>66</v>
      </c>
      <c r="I24" s="3">
        <f t="shared" si="1"/>
        <v>27.471383975026</v>
      </c>
      <c r="J24">
        <v>0</v>
      </c>
      <c r="K24">
        <v>0</v>
      </c>
      <c r="L24">
        <v>1</v>
      </c>
      <c r="M24">
        <v>0</v>
      </c>
      <c r="N24">
        <v>0</v>
      </c>
      <c r="O24">
        <v>5</v>
      </c>
      <c r="P24">
        <v>5</v>
      </c>
      <c r="Q24">
        <v>1</v>
      </c>
      <c r="R24">
        <v>0</v>
      </c>
      <c r="S24">
        <v>20</v>
      </c>
      <c r="T24">
        <v>5</v>
      </c>
      <c r="U24">
        <v>4</v>
      </c>
      <c r="V24">
        <v>1</v>
      </c>
      <c r="W24">
        <v>0</v>
      </c>
      <c r="X24" t="s">
        <v>51</v>
      </c>
      <c r="Y24">
        <v>2</v>
      </c>
      <c r="Z24" t="s">
        <v>37</v>
      </c>
      <c r="AA24">
        <v>13.08</v>
      </c>
      <c r="AB24">
        <v>2.5</v>
      </c>
      <c r="AC24">
        <v>10.17</v>
      </c>
      <c r="AD24" s="4" t="s">
        <v>90</v>
      </c>
    </row>
    <row r="25" spans="1:30">
      <c r="A25" s="1" t="s">
        <v>91</v>
      </c>
      <c r="B25" t="s">
        <v>92</v>
      </c>
      <c r="C25" s="2">
        <v>62</v>
      </c>
      <c r="D25">
        <v>0</v>
      </c>
      <c r="E25">
        <v>8.79</v>
      </c>
      <c r="F25">
        <v>0</v>
      </c>
      <c r="G25">
        <v>168</v>
      </c>
      <c r="H25" s="2">
        <v>62.5</v>
      </c>
      <c r="I25" s="3">
        <f t="shared" si="1"/>
        <v>22.1442743764172</v>
      </c>
      <c r="J25">
        <v>1</v>
      </c>
      <c r="K25">
        <v>0</v>
      </c>
      <c r="L25">
        <v>1</v>
      </c>
      <c r="M25">
        <v>0</v>
      </c>
      <c r="N25">
        <v>1</v>
      </c>
      <c r="O25">
        <v>5</v>
      </c>
      <c r="P25">
        <v>5</v>
      </c>
      <c r="Q25">
        <v>1</v>
      </c>
      <c r="R25">
        <v>1</v>
      </c>
      <c r="S25">
        <v>18</v>
      </c>
      <c r="T25">
        <v>8</v>
      </c>
      <c r="U25">
        <v>3</v>
      </c>
      <c r="V25">
        <v>1</v>
      </c>
      <c r="W25">
        <v>1</v>
      </c>
      <c r="X25" t="s">
        <v>48</v>
      </c>
      <c r="Y25">
        <v>2</v>
      </c>
      <c r="Z25" t="s">
        <v>33</v>
      </c>
      <c r="AA25">
        <v>16</v>
      </c>
      <c r="AB25">
        <v>5.41</v>
      </c>
      <c r="AC25">
        <v>93.81</v>
      </c>
      <c r="AD25" t="s">
        <v>93</v>
      </c>
    </row>
    <row r="26" spans="1:30">
      <c r="A26" s="1" t="s">
        <v>94</v>
      </c>
      <c r="B26" t="s">
        <v>95</v>
      </c>
      <c r="C26" s="2">
        <v>62</v>
      </c>
      <c r="D26">
        <v>1</v>
      </c>
      <c r="E26">
        <v>5.4</v>
      </c>
      <c r="F26">
        <v>0</v>
      </c>
      <c r="G26">
        <v>155</v>
      </c>
      <c r="H26" s="2">
        <v>67</v>
      </c>
      <c r="I26" s="3">
        <f t="shared" si="1"/>
        <v>27.8876170655567</v>
      </c>
      <c r="J26">
        <v>0</v>
      </c>
      <c r="K26">
        <v>0</v>
      </c>
      <c r="L26">
        <v>1</v>
      </c>
      <c r="M26">
        <v>0</v>
      </c>
      <c r="N26">
        <v>0</v>
      </c>
      <c r="O26">
        <v>5</v>
      </c>
      <c r="P26">
        <v>5</v>
      </c>
      <c r="Q26">
        <v>0</v>
      </c>
      <c r="R26">
        <v>1</v>
      </c>
      <c r="S26">
        <v>22</v>
      </c>
      <c r="T26">
        <v>2</v>
      </c>
      <c r="U26">
        <v>3</v>
      </c>
      <c r="V26">
        <v>1</v>
      </c>
      <c r="W26">
        <v>0</v>
      </c>
      <c r="X26" t="s">
        <v>51</v>
      </c>
      <c r="Y26">
        <v>1</v>
      </c>
      <c r="Z26" t="s">
        <v>37</v>
      </c>
      <c r="AA26">
        <v>13.98</v>
      </c>
      <c r="AB26">
        <v>4.6</v>
      </c>
      <c r="AC26">
        <v>13.46</v>
      </c>
      <c r="AD26" t="s">
        <v>96</v>
      </c>
    </row>
    <row r="27" spans="1:30">
      <c r="A27" s="1" t="s">
        <v>97</v>
      </c>
      <c r="B27" t="s">
        <v>98</v>
      </c>
      <c r="C27" s="2">
        <v>53</v>
      </c>
      <c r="D27">
        <v>0</v>
      </c>
      <c r="E27">
        <v>2.13</v>
      </c>
      <c r="F27">
        <v>0</v>
      </c>
      <c r="G27">
        <v>169</v>
      </c>
      <c r="H27" s="2">
        <v>79</v>
      </c>
      <c r="I27" s="3">
        <f t="shared" si="1"/>
        <v>27.6600959350163</v>
      </c>
      <c r="J27">
        <v>0</v>
      </c>
      <c r="K27">
        <v>0</v>
      </c>
      <c r="L27">
        <v>0</v>
      </c>
      <c r="M27">
        <v>0</v>
      </c>
      <c r="N27">
        <v>1</v>
      </c>
      <c r="O27">
        <v>5</v>
      </c>
      <c r="P27">
        <v>5</v>
      </c>
      <c r="Q27">
        <v>1</v>
      </c>
      <c r="R27">
        <v>1</v>
      </c>
      <c r="S27">
        <v>19</v>
      </c>
      <c r="T27">
        <v>5</v>
      </c>
      <c r="U27">
        <v>3</v>
      </c>
      <c r="V27">
        <v>1</v>
      </c>
      <c r="W27">
        <v>1</v>
      </c>
      <c r="X27" t="s">
        <v>48</v>
      </c>
      <c r="Y27">
        <v>2</v>
      </c>
      <c r="Z27" t="s">
        <v>37</v>
      </c>
      <c r="AA27">
        <v>19.21</v>
      </c>
      <c r="AB27">
        <v>11.68</v>
      </c>
      <c r="AC27">
        <v>91.08</v>
      </c>
      <c r="AD27" t="s">
        <v>99</v>
      </c>
    </row>
    <row r="28" spans="1:30">
      <c r="A28" s="1" t="s">
        <v>100</v>
      </c>
      <c r="B28" t="s">
        <v>101</v>
      </c>
      <c r="C28" s="2">
        <v>70</v>
      </c>
      <c r="D28">
        <v>1</v>
      </c>
      <c r="E28">
        <v>5.41</v>
      </c>
      <c r="F28">
        <v>0</v>
      </c>
      <c r="G28">
        <v>167</v>
      </c>
      <c r="H28" s="2">
        <v>70</v>
      </c>
      <c r="I28" s="3">
        <f t="shared" si="1"/>
        <v>25.0995015956112</v>
      </c>
      <c r="J28">
        <v>0</v>
      </c>
      <c r="K28">
        <v>0</v>
      </c>
      <c r="L28">
        <v>0</v>
      </c>
      <c r="M28">
        <v>1</v>
      </c>
      <c r="N28">
        <v>1</v>
      </c>
      <c r="O28">
        <v>5</v>
      </c>
      <c r="P28">
        <v>5</v>
      </c>
      <c r="Q28">
        <v>1</v>
      </c>
      <c r="R28">
        <v>0</v>
      </c>
      <c r="S28">
        <v>18</v>
      </c>
      <c r="T28">
        <v>7</v>
      </c>
      <c r="U28">
        <v>4</v>
      </c>
      <c r="V28">
        <v>0</v>
      </c>
      <c r="W28">
        <v>0</v>
      </c>
      <c r="X28" t="s">
        <v>48</v>
      </c>
      <c r="Y28">
        <v>2</v>
      </c>
      <c r="Z28" t="s">
        <v>37</v>
      </c>
      <c r="AA28">
        <v>17.01</v>
      </c>
      <c r="AB28">
        <v>6.14</v>
      </c>
      <c r="AC28">
        <v>51.09</v>
      </c>
      <c r="AD28" t="s">
        <v>102</v>
      </c>
    </row>
    <row r="29" spans="1:30">
      <c r="A29" s="1" t="s">
        <v>103</v>
      </c>
      <c r="B29" t="s">
        <v>104</v>
      </c>
      <c r="C29" s="2">
        <v>68</v>
      </c>
      <c r="D29">
        <v>0</v>
      </c>
      <c r="E29">
        <v>4.94</v>
      </c>
      <c r="F29">
        <v>0</v>
      </c>
      <c r="G29">
        <v>160</v>
      </c>
      <c r="H29" s="2">
        <v>86</v>
      </c>
      <c r="I29" s="3">
        <f t="shared" si="1"/>
        <v>33.59375</v>
      </c>
      <c r="J29">
        <v>0</v>
      </c>
      <c r="K29">
        <v>0</v>
      </c>
      <c r="L29">
        <v>1</v>
      </c>
      <c r="M29">
        <v>0</v>
      </c>
      <c r="N29">
        <v>0</v>
      </c>
      <c r="O29">
        <v>5</v>
      </c>
      <c r="P29">
        <v>5</v>
      </c>
      <c r="Q29">
        <v>1</v>
      </c>
      <c r="R29">
        <v>1</v>
      </c>
      <c r="S29">
        <v>18</v>
      </c>
      <c r="T29">
        <v>3</v>
      </c>
      <c r="U29">
        <v>5</v>
      </c>
      <c r="V29">
        <v>1</v>
      </c>
      <c r="W29">
        <v>0</v>
      </c>
      <c r="X29" t="s">
        <v>48</v>
      </c>
      <c r="Y29">
        <v>2</v>
      </c>
      <c r="Z29" t="s">
        <v>37</v>
      </c>
      <c r="AA29">
        <v>15.27</v>
      </c>
      <c r="AB29">
        <v>6.4</v>
      </c>
      <c r="AC29">
        <v>46.47</v>
      </c>
    </row>
    <row r="30" spans="1:30">
      <c r="A30" s="1" t="s">
        <v>105</v>
      </c>
      <c r="B30" t="s">
        <v>106</v>
      </c>
      <c r="C30" s="2">
        <v>53</v>
      </c>
      <c r="D30">
        <v>1</v>
      </c>
      <c r="E30">
        <v>7.51</v>
      </c>
      <c r="F30">
        <v>0</v>
      </c>
      <c r="G30" s="5">
        <v>165</v>
      </c>
      <c r="H30" s="6">
        <v>72</v>
      </c>
      <c r="I30" s="3">
        <f t="shared" si="1"/>
        <v>26.4462809917355</v>
      </c>
      <c r="J30" s="5">
        <v>0</v>
      </c>
      <c r="K30" s="5">
        <v>0</v>
      </c>
      <c r="L30" s="5">
        <v>0</v>
      </c>
      <c r="M30" s="5">
        <v>0</v>
      </c>
      <c r="N30">
        <v>0</v>
      </c>
      <c r="O30" s="5">
        <v>5</v>
      </c>
      <c r="P30" s="5">
        <v>5</v>
      </c>
      <c r="Q30" s="5">
        <v>1</v>
      </c>
      <c r="R30" s="5">
        <v>1</v>
      </c>
      <c r="S30" s="5">
        <v>16</v>
      </c>
      <c r="T30">
        <v>3</v>
      </c>
      <c r="U30">
        <v>3</v>
      </c>
      <c r="V30">
        <v>1</v>
      </c>
      <c r="W30">
        <v>0</v>
      </c>
      <c r="X30" t="s">
        <v>34</v>
      </c>
      <c r="Y30">
        <v>2</v>
      </c>
      <c r="Z30" t="s">
        <v>37</v>
      </c>
      <c r="AA30">
        <v>18.55</v>
      </c>
      <c r="AB30">
        <v>10.38</v>
      </c>
      <c r="AC30">
        <v>95.98</v>
      </c>
    </row>
    <row r="31" spans="1:30">
      <c r="A31" s="1" t="s">
        <v>107</v>
      </c>
      <c r="B31" t="s">
        <v>108</v>
      </c>
      <c r="C31" s="2">
        <v>71</v>
      </c>
      <c r="D31">
        <v>1</v>
      </c>
      <c r="E31">
        <v>2.81</v>
      </c>
      <c r="F31">
        <v>0</v>
      </c>
      <c r="G31" s="5">
        <v>155</v>
      </c>
      <c r="H31" s="6">
        <v>60</v>
      </c>
      <c r="I31" s="3">
        <f t="shared" si="1"/>
        <v>24.9739854318418</v>
      </c>
      <c r="J31" s="5">
        <v>0</v>
      </c>
      <c r="K31" s="5">
        <v>1</v>
      </c>
      <c r="L31" s="5">
        <v>0</v>
      </c>
      <c r="M31" s="5">
        <v>0</v>
      </c>
      <c r="N31">
        <v>1</v>
      </c>
      <c r="O31" s="5">
        <v>5</v>
      </c>
      <c r="P31" s="5">
        <v>5</v>
      </c>
      <c r="Q31" s="5">
        <v>1</v>
      </c>
      <c r="R31" s="5">
        <v>1</v>
      </c>
      <c r="S31" s="5">
        <v>20</v>
      </c>
      <c r="T31">
        <v>4</v>
      </c>
      <c r="U31">
        <v>4</v>
      </c>
      <c r="V31">
        <v>0</v>
      </c>
      <c r="W31">
        <v>0</v>
      </c>
      <c r="X31" t="s">
        <v>48</v>
      </c>
      <c r="Y31">
        <v>1</v>
      </c>
      <c r="Z31" t="s">
        <v>34</v>
      </c>
      <c r="AA31">
        <v>19.81</v>
      </c>
      <c r="AB31">
        <v>7.4</v>
      </c>
      <c r="AC31">
        <v>62.77</v>
      </c>
      <c r="AD31" t="s">
        <v>109</v>
      </c>
    </row>
    <row r="32" spans="1:30">
      <c r="A32" s="1" t="s">
        <v>110</v>
      </c>
      <c r="B32" t="s">
        <v>111</v>
      </c>
      <c r="C32" s="2">
        <v>52</v>
      </c>
      <c r="D32">
        <v>0</v>
      </c>
      <c r="E32">
        <v>8.91</v>
      </c>
      <c r="F32">
        <v>0</v>
      </c>
      <c r="G32" s="5">
        <v>176</v>
      </c>
      <c r="H32" s="6">
        <v>72</v>
      </c>
      <c r="I32" s="3">
        <f t="shared" si="1"/>
        <v>23.2438016528926</v>
      </c>
      <c r="J32" s="5">
        <v>1</v>
      </c>
      <c r="K32" s="5">
        <v>1</v>
      </c>
      <c r="L32" s="5">
        <v>0</v>
      </c>
      <c r="M32" s="5">
        <v>0</v>
      </c>
      <c r="N32">
        <v>0</v>
      </c>
      <c r="O32" s="5">
        <v>5</v>
      </c>
      <c r="P32" s="5">
        <v>5</v>
      </c>
      <c r="Q32" s="5">
        <v>1</v>
      </c>
      <c r="R32" s="5">
        <v>1</v>
      </c>
      <c r="S32" s="5">
        <v>20</v>
      </c>
      <c r="T32">
        <v>4</v>
      </c>
      <c r="U32">
        <v>3</v>
      </c>
      <c r="V32">
        <v>0</v>
      </c>
      <c r="W32">
        <v>0</v>
      </c>
      <c r="X32" t="s">
        <v>33</v>
      </c>
      <c r="Y32">
        <v>2</v>
      </c>
      <c r="Z32" t="s">
        <v>33</v>
      </c>
      <c r="AA32">
        <v>17.41</v>
      </c>
      <c r="AB32">
        <v>7.59</v>
      </c>
      <c r="AC32">
        <v>122.56</v>
      </c>
      <c r="AD32" t="s">
        <v>74</v>
      </c>
    </row>
    <row r="33" spans="1:30">
      <c r="A33" s="1" t="s">
        <v>112</v>
      </c>
      <c r="B33" t="s">
        <v>113</v>
      </c>
      <c r="C33" s="2">
        <v>51</v>
      </c>
      <c r="D33">
        <v>1</v>
      </c>
      <c r="E33">
        <v>6.13</v>
      </c>
      <c r="F33">
        <v>0</v>
      </c>
      <c r="G33" s="5">
        <v>160</v>
      </c>
      <c r="H33" s="6">
        <v>65</v>
      </c>
      <c r="I33" s="3">
        <f t="shared" si="1"/>
        <v>25.390625</v>
      </c>
      <c r="J33" s="5">
        <v>0</v>
      </c>
      <c r="K33" s="5">
        <v>0</v>
      </c>
      <c r="L33" s="5">
        <v>0</v>
      </c>
      <c r="M33" s="5">
        <v>0</v>
      </c>
      <c r="N33">
        <v>0</v>
      </c>
      <c r="O33" s="5">
        <v>5</v>
      </c>
      <c r="P33" s="5">
        <v>5</v>
      </c>
      <c r="Q33" s="5">
        <v>1</v>
      </c>
      <c r="R33" s="5">
        <v>0</v>
      </c>
      <c r="S33" s="5">
        <v>21</v>
      </c>
      <c r="T33">
        <v>3</v>
      </c>
      <c r="U33">
        <v>3</v>
      </c>
      <c r="V33">
        <v>0</v>
      </c>
      <c r="W33">
        <v>0</v>
      </c>
      <c r="X33" t="s">
        <v>33</v>
      </c>
      <c r="Y33">
        <v>2</v>
      </c>
      <c r="Z33" t="s">
        <v>37</v>
      </c>
      <c r="AA33">
        <v>17.54</v>
      </c>
      <c r="AB33">
        <v>10.12</v>
      </c>
      <c r="AC33">
        <v>103.95</v>
      </c>
    </row>
    <row r="34" spans="1:30">
      <c r="A34" s="1" t="s">
        <v>114</v>
      </c>
      <c r="B34" t="s">
        <v>115</v>
      </c>
      <c r="C34" s="2">
        <v>52</v>
      </c>
      <c r="D34">
        <v>0</v>
      </c>
      <c r="E34">
        <v>13.48</v>
      </c>
      <c r="F34">
        <v>0</v>
      </c>
      <c r="G34" s="5">
        <v>163</v>
      </c>
      <c r="H34" s="6">
        <v>70</v>
      </c>
      <c r="I34" s="3">
        <f t="shared" si="1"/>
        <v>26.346494034401</v>
      </c>
      <c r="J34" s="5">
        <v>0</v>
      </c>
      <c r="K34" s="5">
        <v>0</v>
      </c>
      <c r="L34" s="5">
        <v>1</v>
      </c>
      <c r="M34" s="5">
        <v>0</v>
      </c>
      <c r="N34">
        <v>0</v>
      </c>
      <c r="O34" s="5">
        <v>5</v>
      </c>
      <c r="P34" s="5">
        <v>5</v>
      </c>
      <c r="Q34" s="5">
        <v>1</v>
      </c>
      <c r="R34" s="5">
        <v>0</v>
      </c>
      <c r="S34" s="5">
        <v>22</v>
      </c>
      <c r="T34">
        <v>4</v>
      </c>
      <c r="U34">
        <v>4</v>
      </c>
      <c r="V34">
        <v>0</v>
      </c>
      <c r="W34">
        <v>0</v>
      </c>
      <c r="X34" t="s">
        <v>48</v>
      </c>
      <c r="Y34">
        <v>1</v>
      </c>
      <c r="Z34" t="s">
        <v>33</v>
      </c>
      <c r="AA34">
        <v>20.15</v>
      </c>
      <c r="AB34">
        <v>7.01</v>
      </c>
      <c r="AC34">
        <v>80.68</v>
      </c>
      <c r="AD34" s="4" t="s">
        <v>116</v>
      </c>
    </row>
    <row r="35" spans="1:30">
      <c r="A35" s="1" t="s">
        <v>117</v>
      </c>
      <c r="B35" t="s">
        <v>118</v>
      </c>
      <c r="C35" s="2">
        <v>34</v>
      </c>
      <c r="D35">
        <v>1</v>
      </c>
      <c r="E35">
        <v>7.01</v>
      </c>
      <c r="F35">
        <v>1</v>
      </c>
      <c r="G35" s="5">
        <v>169</v>
      </c>
      <c r="H35" s="6">
        <v>70</v>
      </c>
      <c r="I35" s="3">
        <f t="shared" si="1"/>
        <v>24.5089457652043</v>
      </c>
      <c r="J35" s="5">
        <v>0</v>
      </c>
      <c r="K35" s="5">
        <v>0</v>
      </c>
      <c r="L35" s="5">
        <v>0</v>
      </c>
      <c r="M35" s="5">
        <v>0</v>
      </c>
      <c r="N35">
        <v>1</v>
      </c>
      <c r="O35" s="5">
        <v>3</v>
      </c>
      <c r="P35" s="5">
        <v>3</v>
      </c>
      <c r="Q35" s="5">
        <v>1</v>
      </c>
      <c r="R35" s="5">
        <v>1</v>
      </c>
      <c r="S35" s="5">
        <v>17</v>
      </c>
      <c r="T35">
        <v>5</v>
      </c>
      <c r="U35">
        <v>4</v>
      </c>
      <c r="V35">
        <v>0</v>
      </c>
      <c r="W35">
        <v>1</v>
      </c>
      <c r="X35" t="s">
        <v>33</v>
      </c>
      <c r="Y35">
        <v>2</v>
      </c>
      <c r="Z35" t="s">
        <v>37</v>
      </c>
      <c r="AA35">
        <v>22.56</v>
      </c>
      <c r="AB35">
        <v>9.04</v>
      </c>
      <c r="AC35">
        <v>266.41</v>
      </c>
      <c r="AD35" t="s">
        <v>119</v>
      </c>
    </row>
    <row r="36" spans="1:30">
      <c r="A36" s="1" t="s">
        <v>120</v>
      </c>
      <c r="B36" t="s">
        <v>121</v>
      </c>
      <c r="C36" s="2">
        <v>50</v>
      </c>
      <c r="D36">
        <v>1</v>
      </c>
      <c r="E36">
        <v>3.74</v>
      </c>
      <c r="F36">
        <v>1</v>
      </c>
      <c r="G36" s="5">
        <v>153</v>
      </c>
      <c r="H36" s="6">
        <v>60</v>
      </c>
      <c r="I36" s="3">
        <f t="shared" si="1"/>
        <v>25.6311674996796</v>
      </c>
      <c r="J36" s="5">
        <v>0</v>
      </c>
      <c r="K36" s="5">
        <v>0</v>
      </c>
      <c r="L36" s="5">
        <v>1</v>
      </c>
      <c r="M36" s="5">
        <v>0</v>
      </c>
      <c r="N36">
        <v>1</v>
      </c>
      <c r="O36" s="5">
        <v>0</v>
      </c>
      <c r="P36" s="5">
        <v>0</v>
      </c>
      <c r="Q36" s="5">
        <v>1</v>
      </c>
      <c r="R36" s="5">
        <v>1</v>
      </c>
      <c r="S36" s="5">
        <v>11</v>
      </c>
      <c r="T36">
        <v>6</v>
      </c>
      <c r="U36">
        <v>4</v>
      </c>
      <c r="V36">
        <v>0</v>
      </c>
      <c r="W36">
        <v>1</v>
      </c>
      <c r="X36" t="s">
        <v>48</v>
      </c>
      <c r="Y36">
        <v>2</v>
      </c>
      <c r="Z36" t="s">
        <v>37</v>
      </c>
      <c r="AA36">
        <v>14.89</v>
      </c>
      <c r="AB36">
        <v>6.88</v>
      </c>
      <c r="AC36">
        <v>70.04</v>
      </c>
      <c r="AD36" t="s">
        <v>122</v>
      </c>
    </row>
    <row r="37" spans="1:30">
      <c r="A37" s="1" t="s">
        <v>123</v>
      </c>
      <c r="B37" t="s">
        <v>124</v>
      </c>
      <c r="C37" s="2">
        <v>49</v>
      </c>
      <c r="D37">
        <v>1</v>
      </c>
      <c r="E37">
        <v>3.91</v>
      </c>
      <c r="F37">
        <v>1</v>
      </c>
      <c r="G37" s="5">
        <v>160</v>
      </c>
      <c r="H37" s="6">
        <v>61</v>
      </c>
      <c r="I37" s="3">
        <f t="shared" si="1"/>
        <v>23.828125</v>
      </c>
      <c r="J37" s="5">
        <v>0</v>
      </c>
      <c r="K37" s="5">
        <v>0</v>
      </c>
      <c r="L37" s="5">
        <v>0</v>
      </c>
      <c r="M37" s="5">
        <v>0</v>
      </c>
      <c r="N37">
        <v>1</v>
      </c>
      <c r="O37" s="5">
        <v>3</v>
      </c>
      <c r="P37" s="5">
        <v>3</v>
      </c>
      <c r="Q37" s="5">
        <v>1</v>
      </c>
      <c r="R37" s="5">
        <v>0</v>
      </c>
      <c r="S37" s="5">
        <v>17</v>
      </c>
      <c r="T37">
        <v>6</v>
      </c>
      <c r="U37">
        <v>5</v>
      </c>
      <c r="V37">
        <v>0</v>
      </c>
      <c r="W37">
        <v>0</v>
      </c>
      <c r="X37" t="s">
        <v>33</v>
      </c>
      <c r="Y37">
        <v>2</v>
      </c>
      <c r="Z37" t="s">
        <v>37</v>
      </c>
      <c r="AA37">
        <v>18.45</v>
      </c>
      <c r="AB37">
        <v>12.87</v>
      </c>
      <c r="AC37">
        <v>166.43</v>
      </c>
      <c r="AD37" t="s">
        <v>125</v>
      </c>
    </row>
    <row r="38" spans="1:30">
      <c r="A38" s="1" t="s">
        <v>126</v>
      </c>
      <c r="B38" t="s">
        <v>127</v>
      </c>
      <c r="C38" s="2">
        <v>59</v>
      </c>
      <c r="D38">
        <v>0</v>
      </c>
      <c r="E38">
        <v>9.36</v>
      </c>
      <c r="F38">
        <v>1</v>
      </c>
      <c r="G38" s="5">
        <v>166</v>
      </c>
      <c r="H38" s="6">
        <v>56</v>
      </c>
      <c r="I38" s="3">
        <f t="shared" si="1"/>
        <v>20.3222528668892</v>
      </c>
      <c r="J38" s="5">
        <v>0</v>
      </c>
      <c r="K38" s="5">
        <v>0</v>
      </c>
      <c r="L38" s="5">
        <v>0</v>
      </c>
      <c r="M38" s="5">
        <v>0</v>
      </c>
      <c r="N38">
        <v>0</v>
      </c>
      <c r="O38" s="5">
        <v>3</v>
      </c>
      <c r="P38" s="5">
        <v>0</v>
      </c>
      <c r="Q38" s="5">
        <v>0</v>
      </c>
      <c r="R38" s="5">
        <v>0</v>
      </c>
      <c r="S38" s="5">
        <v>17</v>
      </c>
      <c r="T38">
        <v>5</v>
      </c>
      <c r="U38">
        <v>4</v>
      </c>
      <c r="V38">
        <v>1</v>
      </c>
      <c r="W38">
        <v>0</v>
      </c>
      <c r="X38" t="s">
        <v>33</v>
      </c>
      <c r="Y38">
        <v>2</v>
      </c>
      <c r="Z38" t="s">
        <v>37</v>
      </c>
      <c r="AA38">
        <v>19.11</v>
      </c>
      <c r="AB38">
        <v>13.09</v>
      </c>
      <c r="AC38">
        <v>120.93</v>
      </c>
      <c r="AD38" s="4" t="s">
        <v>128</v>
      </c>
    </row>
    <row r="39" spans="1:30">
      <c r="A39" s="1" t="s">
        <v>129</v>
      </c>
      <c r="B39" t="s">
        <v>130</v>
      </c>
      <c r="C39" s="2">
        <v>46</v>
      </c>
      <c r="D39">
        <v>0</v>
      </c>
      <c r="E39">
        <v>3.63</v>
      </c>
      <c r="F39">
        <v>1</v>
      </c>
      <c r="G39" s="5">
        <v>167</v>
      </c>
      <c r="H39" s="6">
        <v>70</v>
      </c>
      <c r="I39" s="3">
        <f t="shared" si="1"/>
        <v>25.0995015956112</v>
      </c>
      <c r="J39" s="5">
        <v>1</v>
      </c>
      <c r="K39" s="5">
        <v>0</v>
      </c>
      <c r="L39" s="5">
        <v>1</v>
      </c>
      <c r="M39" s="5">
        <v>0</v>
      </c>
      <c r="N39">
        <v>1</v>
      </c>
      <c r="O39" s="5">
        <v>0</v>
      </c>
      <c r="P39" s="5">
        <v>5</v>
      </c>
      <c r="Q39" s="5">
        <v>0</v>
      </c>
      <c r="R39" s="5">
        <v>1</v>
      </c>
      <c r="S39" s="5">
        <v>16</v>
      </c>
      <c r="T39">
        <v>5</v>
      </c>
      <c r="U39">
        <v>3</v>
      </c>
      <c r="V39">
        <v>1</v>
      </c>
      <c r="W39">
        <v>1</v>
      </c>
      <c r="X39" t="s">
        <v>33</v>
      </c>
      <c r="Y39">
        <v>2</v>
      </c>
      <c r="Z39" t="s">
        <v>33</v>
      </c>
      <c r="AA39">
        <v>18.73</v>
      </c>
      <c r="AB39">
        <v>9.62</v>
      </c>
      <c r="AC39">
        <v>135.24</v>
      </c>
      <c r="AD39" s="4" t="s">
        <v>131</v>
      </c>
    </row>
    <row r="40" spans="1:30">
      <c r="A40" s="1" t="s">
        <v>132</v>
      </c>
      <c r="B40" t="s">
        <v>133</v>
      </c>
      <c r="C40" s="2">
        <v>67</v>
      </c>
      <c r="D40">
        <v>0</v>
      </c>
      <c r="E40">
        <v>6.34</v>
      </c>
      <c r="F40">
        <v>1</v>
      </c>
      <c r="G40" s="5">
        <v>180</v>
      </c>
      <c r="H40" s="6">
        <v>75</v>
      </c>
      <c r="I40" s="3">
        <f t="shared" si="1"/>
        <v>23.1481481481481</v>
      </c>
      <c r="J40" s="5">
        <v>0</v>
      </c>
      <c r="K40" s="5">
        <v>0</v>
      </c>
      <c r="L40" s="5">
        <v>1</v>
      </c>
      <c r="M40" s="5">
        <v>0</v>
      </c>
      <c r="N40">
        <v>0</v>
      </c>
      <c r="O40" s="5">
        <v>4</v>
      </c>
      <c r="P40" s="5">
        <v>0</v>
      </c>
      <c r="Q40" s="5">
        <v>0</v>
      </c>
      <c r="R40" s="5">
        <v>1</v>
      </c>
      <c r="S40" s="5">
        <v>18</v>
      </c>
      <c r="T40">
        <v>5</v>
      </c>
      <c r="U40">
        <v>4</v>
      </c>
      <c r="V40">
        <v>1</v>
      </c>
      <c r="W40">
        <v>0</v>
      </c>
      <c r="X40" t="s">
        <v>48</v>
      </c>
      <c r="Y40">
        <v>2</v>
      </c>
      <c r="Z40" t="s">
        <v>33</v>
      </c>
      <c r="AA40">
        <v>17.4</v>
      </c>
      <c r="AB40">
        <v>8.95</v>
      </c>
      <c r="AC40">
        <v>98.46</v>
      </c>
    </row>
    <row r="41" spans="1:30">
      <c r="A41" s="1" t="s">
        <v>134</v>
      </c>
      <c r="B41" t="s">
        <v>135</v>
      </c>
      <c r="C41" s="2">
        <v>38</v>
      </c>
      <c r="D41">
        <v>0</v>
      </c>
      <c r="E41">
        <v>3.08</v>
      </c>
      <c r="F41">
        <v>1</v>
      </c>
      <c r="G41" s="5">
        <v>170</v>
      </c>
      <c r="H41" s="6">
        <v>70</v>
      </c>
      <c r="I41" s="3">
        <f t="shared" si="1"/>
        <v>24.2214532871972</v>
      </c>
      <c r="J41" s="5">
        <v>0</v>
      </c>
      <c r="K41" s="5">
        <v>0</v>
      </c>
      <c r="L41" s="5">
        <v>0</v>
      </c>
      <c r="M41" s="5">
        <v>0</v>
      </c>
      <c r="N41">
        <v>1</v>
      </c>
      <c r="O41" s="5">
        <v>5</v>
      </c>
      <c r="P41" s="5">
        <v>2</v>
      </c>
      <c r="Q41" s="5">
        <v>1</v>
      </c>
      <c r="R41" s="5">
        <v>1</v>
      </c>
      <c r="S41" s="5">
        <v>12</v>
      </c>
      <c r="T41">
        <v>6</v>
      </c>
      <c r="U41">
        <v>5</v>
      </c>
      <c r="V41">
        <v>0</v>
      </c>
      <c r="W41">
        <v>1</v>
      </c>
      <c r="X41" t="s">
        <v>48</v>
      </c>
      <c r="Y41">
        <v>3</v>
      </c>
      <c r="Z41" t="s">
        <v>37</v>
      </c>
      <c r="AA41">
        <v>16.48</v>
      </c>
      <c r="AB41">
        <v>4.65</v>
      </c>
      <c r="AC41">
        <v>74.45</v>
      </c>
    </row>
    <row r="42" spans="1:30">
      <c r="A42" s="1" t="s">
        <v>136</v>
      </c>
      <c r="B42" t="s">
        <v>137</v>
      </c>
      <c r="C42" s="2">
        <v>50</v>
      </c>
      <c r="D42">
        <v>0</v>
      </c>
      <c r="E42">
        <v>6.61</v>
      </c>
      <c r="F42">
        <v>1</v>
      </c>
      <c r="G42" s="5">
        <v>169</v>
      </c>
      <c r="H42" s="6">
        <v>68</v>
      </c>
      <c r="I42" s="3">
        <f t="shared" si="1"/>
        <v>23.8086901719128</v>
      </c>
      <c r="J42" s="5">
        <v>0</v>
      </c>
      <c r="K42" s="5">
        <v>0</v>
      </c>
      <c r="L42" s="5">
        <v>0</v>
      </c>
      <c r="M42" s="5">
        <v>0</v>
      </c>
      <c r="N42">
        <v>1</v>
      </c>
      <c r="O42" s="5">
        <v>3</v>
      </c>
      <c r="P42" s="5">
        <v>0</v>
      </c>
      <c r="Q42" s="5">
        <v>1</v>
      </c>
      <c r="R42" s="5">
        <v>1</v>
      </c>
      <c r="S42" s="5">
        <v>13</v>
      </c>
      <c r="T42">
        <v>6</v>
      </c>
      <c r="U42">
        <v>3</v>
      </c>
      <c r="V42">
        <v>1</v>
      </c>
      <c r="W42">
        <v>1</v>
      </c>
      <c r="X42" t="s">
        <v>48</v>
      </c>
      <c r="Y42">
        <v>3</v>
      </c>
      <c r="Z42" t="s">
        <v>37</v>
      </c>
      <c r="AA42">
        <v>17.61</v>
      </c>
      <c r="AB42">
        <v>8.55</v>
      </c>
      <c r="AC42">
        <v>37.9</v>
      </c>
    </row>
    <row r="43" spans="1:30">
      <c r="A43" s="1" t="s">
        <v>138</v>
      </c>
      <c r="B43" t="s">
        <v>139</v>
      </c>
      <c r="C43" s="2">
        <v>82</v>
      </c>
      <c r="D43">
        <v>0</v>
      </c>
      <c r="E43">
        <v>2.78</v>
      </c>
      <c r="F43">
        <v>1</v>
      </c>
      <c r="G43" s="5">
        <v>165</v>
      </c>
      <c r="H43" s="6">
        <v>70</v>
      </c>
      <c r="I43" s="3">
        <f t="shared" si="1"/>
        <v>25.7116620752984</v>
      </c>
      <c r="J43" s="5">
        <v>0</v>
      </c>
      <c r="K43" s="5">
        <v>0</v>
      </c>
      <c r="L43" s="5">
        <v>1</v>
      </c>
      <c r="M43" s="5">
        <v>0</v>
      </c>
      <c r="N43">
        <v>1</v>
      </c>
      <c r="O43" s="5">
        <v>4</v>
      </c>
      <c r="P43" s="5">
        <v>2</v>
      </c>
      <c r="Q43" s="5">
        <v>1</v>
      </c>
      <c r="R43" s="5">
        <v>1</v>
      </c>
      <c r="S43" s="5">
        <v>15</v>
      </c>
      <c r="T43">
        <v>6</v>
      </c>
      <c r="U43">
        <v>4</v>
      </c>
      <c r="V43">
        <v>0</v>
      </c>
      <c r="W43">
        <v>0</v>
      </c>
      <c r="X43" t="s">
        <v>34</v>
      </c>
      <c r="Y43">
        <v>2</v>
      </c>
      <c r="Z43" t="s">
        <v>37</v>
      </c>
      <c r="AA43">
        <v>16.51</v>
      </c>
      <c r="AB43">
        <v>8.68</v>
      </c>
      <c r="AC43">
        <v>101.61</v>
      </c>
      <c r="AD43" t="s">
        <v>140</v>
      </c>
    </row>
    <row r="44" spans="1:30">
      <c r="A44" s="1" t="s">
        <v>141</v>
      </c>
      <c r="B44" t="s">
        <v>142</v>
      </c>
      <c r="C44" s="2">
        <v>83</v>
      </c>
      <c r="D44">
        <v>0</v>
      </c>
      <c r="E44">
        <v>7.43</v>
      </c>
      <c r="F44">
        <v>1</v>
      </c>
      <c r="G44" s="5">
        <v>170</v>
      </c>
      <c r="H44" s="6">
        <v>67</v>
      </c>
      <c r="I44" s="3">
        <f t="shared" si="1"/>
        <v>23.1833910034602</v>
      </c>
      <c r="J44" s="5">
        <v>0</v>
      </c>
      <c r="K44" s="5">
        <v>0</v>
      </c>
      <c r="L44" s="5">
        <v>1</v>
      </c>
      <c r="M44" s="5">
        <v>0</v>
      </c>
      <c r="N44">
        <v>1</v>
      </c>
      <c r="O44" s="5">
        <v>5</v>
      </c>
      <c r="P44" s="5">
        <v>3</v>
      </c>
      <c r="Q44" s="5">
        <v>1</v>
      </c>
      <c r="R44" s="5">
        <v>1</v>
      </c>
      <c r="S44" s="5">
        <v>16</v>
      </c>
      <c r="T44">
        <v>7</v>
      </c>
      <c r="U44">
        <v>5</v>
      </c>
      <c r="V44">
        <v>0</v>
      </c>
      <c r="W44">
        <v>0</v>
      </c>
      <c r="X44" t="s">
        <v>48</v>
      </c>
      <c r="Y44">
        <v>2</v>
      </c>
      <c r="Z44" t="s">
        <v>37</v>
      </c>
      <c r="AA44">
        <v>16.08</v>
      </c>
      <c r="AB44">
        <v>8.82</v>
      </c>
      <c r="AC44">
        <v>105.74</v>
      </c>
      <c r="AD44" s="4" t="s">
        <v>143</v>
      </c>
    </row>
    <row r="45" spans="1:30">
      <c r="A45" s="1" t="s">
        <v>144</v>
      </c>
      <c r="B45" t="s">
        <v>145</v>
      </c>
      <c r="C45" s="2">
        <v>69</v>
      </c>
      <c r="D45">
        <v>1</v>
      </c>
      <c r="E45">
        <v>6.01</v>
      </c>
      <c r="F45">
        <v>1</v>
      </c>
      <c r="G45" s="5">
        <v>156</v>
      </c>
      <c r="H45" s="6">
        <v>67</v>
      </c>
      <c r="I45" s="3">
        <f t="shared" si="1"/>
        <v>27.5312294543064</v>
      </c>
      <c r="J45" s="5">
        <v>0</v>
      </c>
      <c r="K45" s="5">
        <v>0</v>
      </c>
      <c r="L45" s="5">
        <v>1</v>
      </c>
      <c r="M45" s="5">
        <v>1</v>
      </c>
      <c r="N45">
        <v>0</v>
      </c>
      <c r="O45" s="5">
        <v>3</v>
      </c>
      <c r="P45" s="5">
        <v>4</v>
      </c>
      <c r="Q45" s="5">
        <v>1</v>
      </c>
      <c r="R45" s="5">
        <v>1</v>
      </c>
      <c r="S45" s="5">
        <v>17</v>
      </c>
      <c r="T45">
        <v>5</v>
      </c>
      <c r="U45">
        <v>4</v>
      </c>
      <c r="V45">
        <v>1</v>
      </c>
      <c r="W45">
        <v>1</v>
      </c>
      <c r="X45" t="s">
        <v>48</v>
      </c>
      <c r="Y45">
        <v>2</v>
      </c>
      <c r="Z45" t="s">
        <v>37</v>
      </c>
      <c r="AA45">
        <v>13.7</v>
      </c>
      <c r="AB45">
        <v>8.48</v>
      </c>
      <c r="AC45">
        <v>57.43</v>
      </c>
    </row>
    <row r="46" spans="1:30">
      <c r="A46" s="1" t="s">
        <v>146</v>
      </c>
      <c r="B46" t="s">
        <v>147</v>
      </c>
      <c r="C46" s="2">
        <v>63</v>
      </c>
      <c r="D46">
        <v>0</v>
      </c>
      <c r="E46">
        <v>7.33</v>
      </c>
      <c r="F46">
        <v>1</v>
      </c>
      <c r="G46" s="5">
        <v>175</v>
      </c>
      <c r="H46" s="6">
        <v>90</v>
      </c>
      <c r="I46" s="3">
        <f t="shared" si="1"/>
        <v>29.3877551020408</v>
      </c>
      <c r="J46" s="5">
        <v>1</v>
      </c>
      <c r="K46" s="5">
        <v>1</v>
      </c>
      <c r="L46" s="5">
        <v>1</v>
      </c>
      <c r="M46" s="5">
        <v>1</v>
      </c>
      <c r="N46">
        <v>1</v>
      </c>
      <c r="O46" s="5">
        <v>5</v>
      </c>
      <c r="P46" s="5">
        <v>0</v>
      </c>
      <c r="Q46" s="5">
        <v>1</v>
      </c>
      <c r="R46" s="5">
        <v>1</v>
      </c>
      <c r="S46" s="5">
        <v>18</v>
      </c>
      <c r="T46">
        <v>4</v>
      </c>
      <c r="U46">
        <v>4</v>
      </c>
      <c r="V46">
        <v>0</v>
      </c>
      <c r="W46">
        <v>0</v>
      </c>
      <c r="X46" t="s">
        <v>48</v>
      </c>
      <c r="Y46">
        <v>2</v>
      </c>
      <c r="Z46" t="s">
        <v>34</v>
      </c>
      <c r="AA46">
        <v>17.78</v>
      </c>
      <c r="AB46">
        <v>8.39</v>
      </c>
      <c r="AC46">
        <v>79.18</v>
      </c>
    </row>
    <row r="47" spans="1:30">
      <c r="A47" s="1" t="s">
        <v>148</v>
      </c>
      <c r="B47" t="s">
        <v>149</v>
      </c>
      <c r="C47" s="2">
        <v>55</v>
      </c>
      <c r="D47">
        <v>0</v>
      </c>
      <c r="E47">
        <v>3.73</v>
      </c>
      <c r="F47">
        <v>1</v>
      </c>
      <c r="G47" s="5">
        <v>168</v>
      </c>
      <c r="H47" s="6">
        <v>58</v>
      </c>
      <c r="I47" s="3">
        <f t="shared" si="1"/>
        <v>20.5498866213152</v>
      </c>
      <c r="J47" s="5">
        <v>1</v>
      </c>
      <c r="K47" s="5">
        <v>1</v>
      </c>
      <c r="L47" s="5">
        <v>1</v>
      </c>
      <c r="M47" s="5">
        <v>1</v>
      </c>
      <c r="N47">
        <v>0</v>
      </c>
      <c r="O47" s="5">
        <v>0</v>
      </c>
      <c r="P47" s="5">
        <v>0</v>
      </c>
      <c r="Q47" s="5">
        <v>1</v>
      </c>
      <c r="R47" s="5">
        <v>1</v>
      </c>
      <c r="S47" s="5">
        <v>15</v>
      </c>
      <c r="T47">
        <v>5</v>
      </c>
      <c r="U47">
        <v>3</v>
      </c>
      <c r="V47">
        <v>1</v>
      </c>
      <c r="W47">
        <v>0</v>
      </c>
      <c r="X47" t="s">
        <v>33</v>
      </c>
      <c r="Y47">
        <v>1</v>
      </c>
      <c r="Z47" t="s">
        <v>34</v>
      </c>
      <c r="AA47">
        <v>18.85</v>
      </c>
      <c r="AB47">
        <v>9.82</v>
      </c>
      <c r="AC47">
        <v>102.24</v>
      </c>
      <c r="AD47" s="4" t="s">
        <v>150</v>
      </c>
    </row>
    <row r="48" spans="1:30">
      <c r="A48" s="1" t="s">
        <v>151</v>
      </c>
      <c r="B48" t="s">
        <v>152</v>
      </c>
      <c r="C48" s="2">
        <v>56</v>
      </c>
      <c r="D48">
        <v>0</v>
      </c>
      <c r="E48">
        <v>5.01</v>
      </c>
      <c r="F48">
        <v>1</v>
      </c>
      <c r="G48" s="5">
        <v>175</v>
      </c>
      <c r="H48" s="6">
        <v>80</v>
      </c>
      <c r="I48" s="3">
        <f t="shared" si="1"/>
        <v>26.1224489795918</v>
      </c>
      <c r="J48" s="5">
        <v>0</v>
      </c>
      <c r="K48" s="5">
        <v>1</v>
      </c>
      <c r="L48" s="5">
        <v>0</v>
      </c>
      <c r="M48" s="5">
        <v>0</v>
      </c>
      <c r="N48">
        <v>1</v>
      </c>
      <c r="O48" s="5">
        <v>3</v>
      </c>
      <c r="P48" s="5">
        <v>5</v>
      </c>
      <c r="Q48" s="5">
        <v>1</v>
      </c>
      <c r="R48" s="5">
        <v>1</v>
      </c>
      <c r="S48" s="5">
        <v>17</v>
      </c>
      <c r="T48">
        <v>4</v>
      </c>
      <c r="U48">
        <v>3</v>
      </c>
      <c r="V48">
        <v>1</v>
      </c>
      <c r="W48">
        <v>0</v>
      </c>
      <c r="X48" t="s">
        <v>51</v>
      </c>
      <c r="Y48">
        <v>3</v>
      </c>
      <c r="Z48" t="s">
        <v>33</v>
      </c>
      <c r="AA48">
        <v>11.84</v>
      </c>
      <c r="AB48">
        <v>6.96</v>
      </c>
      <c r="AC48">
        <v>13.98</v>
      </c>
    </row>
    <row r="49" spans="1:30">
      <c r="A49" s="1" t="s">
        <v>153</v>
      </c>
      <c r="B49" t="s">
        <v>154</v>
      </c>
      <c r="C49" s="2">
        <v>45</v>
      </c>
      <c r="D49">
        <v>0</v>
      </c>
      <c r="E49">
        <v>6.82</v>
      </c>
      <c r="F49">
        <v>1</v>
      </c>
      <c r="G49" s="5">
        <v>171</v>
      </c>
      <c r="H49" s="6">
        <v>80</v>
      </c>
      <c r="I49" s="3">
        <f t="shared" si="1"/>
        <v>27.3588454567217</v>
      </c>
      <c r="J49" s="5">
        <v>0</v>
      </c>
      <c r="K49" s="5">
        <v>0</v>
      </c>
      <c r="L49" s="5">
        <v>0</v>
      </c>
      <c r="M49" s="5">
        <v>0</v>
      </c>
      <c r="N49">
        <v>0</v>
      </c>
      <c r="O49" s="5">
        <v>5</v>
      </c>
      <c r="P49" s="5">
        <v>0</v>
      </c>
      <c r="Q49" s="5">
        <v>1</v>
      </c>
      <c r="R49" s="5">
        <v>1</v>
      </c>
      <c r="S49" s="5">
        <v>17</v>
      </c>
      <c r="T49">
        <v>5</v>
      </c>
      <c r="U49">
        <v>5</v>
      </c>
      <c r="V49">
        <v>1</v>
      </c>
      <c r="W49">
        <v>1</v>
      </c>
      <c r="X49" t="s">
        <v>51</v>
      </c>
      <c r="Y49">
        <v>3</v>
      </c>
      <c r="Z49" t="s">
        <v>37</v>
      </c>
      <c r="AA49">
        <v>19.59</v>
      </c>
      <c r="AB49">
        <v>4.4</v>
      </c>
      <c r="AC49">
        <v>55.33</v>
      </c>
    </row>
    <row r="50" spans="1:30">
      <c r="A50" s="1" t="s">
        <v>155</v>
      </c>
      <c r="B50" t="s">
        <v>156</v>
      </c>
      <c r="C50" s="2">
        <v>76</v>
      </c>
      <c r="D50">
        <v>1</v>
      </c>
      <c r="E50">
        <v>6.09</v>
      </c>
      <c r="F50">
        <v>1</v>
      </c>
      <c r="G50" s="5">
        <v>163</v>
      </c>
      <c r="H50" s="6">
        <v>50</v>
      </c>
      <c r="I50" s="3">
        <f t="shared" si="1"/>
        <v>18.8189243102864</v>
      </c>
      <c r="J50" s="5">
        <v>0</v>
      </c>
      <c r="K50" s="5">
        <v>0</v>
      </c>
      <c r="L50" s="5">
        <v>1</v>
      </c>
      <c r="M50" s="5">
        <v>1</v>
      </c>
      <c r="N50">
        <v>0</v>
      </c>
      <c r="O50" s="5">
        <v>3</v>
      </c>
      <c r="P50" s="5">
        <v>5</v>
      </c>
      <c r="Q50" s="5">
        <v>1</v>
      </c>
      <c r="R50" s="5">
        <v>1</v>
      </c>
      <c r="S50" s="5">
        <v>18</v>
      </c>
      <c r="T50">
        <v>4</v>
      </c>
      <c r="U50">
        <v>4</v>
      </c>
      <c r="V50">
        <v>1</v>
      </c>
      <c r="W50">
        <v>0</v>
      </c>
      <c r="X50" t="s">
        <v>51</v>
      </c>
      <c r="Y50">
        <v>2</v>
      </c>
      <c r="Z50" t="s">
        <v>37</v>
      </c>
      <c r="AA50">
        <v>14.48</v>
      </c>
      <c r="AB50">
        <v>7.12</v>
      </c>
      <c r="AC50">
        <v>23.12</v>
      </c>
      <c r="AD50" t="s">
        <v>157</v>
      </c>
    </row>
    <row r="51" spans="1:30">
      <c r="A51" s="1" t="s">
        <v>158</v>
      </c>
      <c r="B51" t="s">
        <v>159</v>
      </c>
      <c r="C51" s="2">
        <v>23</v>
      </c>
      <c r="D51">
        <v>0</v>
      </c>
      <c r="E51">
        <v>1</v>
      </c>
      <c r="F51">
        <v>0</v>
      </c>
      <c r="G51" s="5">
        <v>173</v>
      </c>
      <c r="H51" s="6">
        <v>82</v>
      </c>
      <c r="I51" s="3">
        <f t="shared" si="1"/>
        <v>27.3981756824485</v>
      </c>
      <c r="J51" s="5">
        <v>0</v>
      </c>
      <c r="K51" s="5">
        <v>0</v>
      </c>
      <c r="L51" s="5">
        <v>0</v>
      </c>
      <c r="M51" s="5">
        <v>0</v>
      </c>
      <c r="N51">
        <v>0</v>
      </c>
      <c r="O51" s="5">
        <v>5</v>
      </c>
      <c r="P51" s="5">
        <v>5</v>
      </c>
      <c r="Q51" s="5">
        <v>1</v>
      </c>
      <c r="R51" s="5">
        <v>0</v>
      </c>
      <c r="S51" s="5">
        <v>19</v>
      </c>
      <c r="T51">
        <v>5</v>
      </c>
      <c r="U51">
        <v>3</v>
      </c>
      <c r="V51">
        <v>1</v>
      </c>
      <c r="W51">
        <v>0</v>
      </c>
      <c r="X51" t="s">
        <v>34</v>
      </c>
      <c r="Y51">
        <v>1</v>
      </c>
      <c r="Z51" t="s">
        <v>37</v>
      </c>
      <c r="AA51">
        <v>19.31</v>
      </c>
      <c r="AB51">
        <v>10.78</v>
      </c>
      <c r="AC51">
        <v>122.03</v>
      </c>
    </row>
    <row r="52" spans="1:30">
      <c r="A52" s="1" t="s">
        <v>160</v>
      </c>
      <c r="B52" t="s">
        <v>161</v>
      </c>
      <c r="C52" s="2">
        <v>59</v>
      </c>
      <c r="D52">
        <v>0</v>
      </c>
      <c r="E52">
        <v>5.92</v>
      </c>
      <c r="F52">
        <v>0</v>
      </c>
      <c r="G52" s="5">
        <v>168</v>
      </c>
      <c r="H52" s="6">
        <v>61</v>
      </c>
      <c r="I52" s="3">
        <f t="shared" si="1"/>
        <v>21.6128117913832</v>
      </c>
      <c r="J52" s="5">
        <v>1</v>
      </c>
      <c r="K52" s="5">
        <v>1</v>
      </c>
      <c r="L52" s="5">
        <v>1</v>
      </c>
      <c r="M52" s="5">
        <v>0</v>
      </c>
      <c r="N52">
        <v>0</v>
      </c>
      <c r="O52" s="5">
        <v>5</v>
      </c>
      <c r="P52" s="5">
        <v>5</v>
      </c>
      <c r="Q52" s="5">
        <v>1</v>
      </c>
      <c r="R52" s="5">
        <v>1</v>
      </c>
      <c r="S52" s="5">
        <v>19</v>
      </c>
      <c r="T52">
        <v>6</v>
      </c>
      <c r="U52">
        <v>5</v>
      </c>
      <c r="V52">
        <v>0</v>
      </c>
      <c r="W52">
        <v>0</v>
      </c>
      <c r="X52" t="s">
        <v>33</v>
      </c>
      <c r="Y52">
        <v>3</v>
      </c>
      <c r="Z52" t="s">
        <v>34</v>
      </c>
      <c r="AA52">
        <v>16.05</v>
      </c>
      <c r="AB52">
        <v>10.23</v>
      </c>
      <c r="AC52">
        <v>158.22</v>
      </c>
      <c r="AD52" t="s">
        <v>162</v>
      </c>
    </row>
    <row r="53" spans="1:30">
      <c r="A53" s="1" t="s">
        <v>163</v>
      </c>
      <c r="B53" t="s">
        <v>164</v>
      </c>
      <c r="C53" s="2">
        <v>68</v>
      </c>
      <c r="D53">
        <v>1</v>
      </c>
      <c r="E53">
        <v>10.43</v>
      </c>
      <c r="F53">
        <v>0</v>
      </c>
      <c r="G53" s="5">
        <v>159</v>
      </c>
      <c r="H53" s="6">
        <v>59.5</v>
      </c>
      <c r="I53" s="3">
        <f t="shared" si="1"/>
        <v>23.5354614137099</v>
      </c>
      <c r="J53" s="5">
        <v>0</v>
      </c>
      <c r="K53" s="5">
        <v>0</v>
      </c>
      <c r="L53" s="5">
        <v>0</v>
      </c>
      <c r="M53" s="5">
        <v>0</v>
      </c>
      <c r="N53">
        <v>0</v>
      </c>
      <c r="O53" s="5">
        <v>5</v>
      </c>
      <c r="P53" s="5">
        <v>5</v>
      </c>
      <c r="Q53" s="5">
        <v>1</v>
      </c>
      <c r="R53" s="5">
        <v>1</v>
      </c>
      <c r="S53" s="5">
        <v>21</v>
      </c>
      <c r="T53">
        <v>6</v>
      </c>
      <c r="U53">
        <v>4</v>
      </c>
      <c r="V53">
        <v>0</v>
      </c>
      <c r="W53">
        <v>0</v>
      </c>
      <c r="X53" t="s">
        <v>34</v>
      </c>
      <c r="Y53">
        <v>1</v>
      </c>
      <c r="Z53" t="s">
        <v>37</v>
      </c>
      <c r="AA53">
        <v>19.15</v>
      </c>
      <c r="AB53">
        <v>8.48</v>
      </c>
      <c r="AC53">
        <v>93.21</v>
      </c>
    </row>
    <row r="54" spans="1:30">
      <c r="A54" s="1" t="s">
        <v>165</v>
      </c>
      <c r="B54" t="s">
        <v>166</v>
      </c>
      <c r="C54" s="2">
        <v>77</v>
      </c>
      <c r="D54">
        <v>0</v>
      </c>
      <c r="E54">
        <v>7.58</v>
      </c>
      <c r="F54">
        <v>0</v>
      </c>
      <c r="G54" s="5">
        <v>165</v>
      </c>
      <c r="H54" s="6">
        <v>52.5</v>
      </c>
      <c r="I54" s="3">
        <f t="shared" si="1"/>
        <v>19.2837465564738</v>
      </c>
      <c r="J54" s="5">
        <v>0</v>
      </c>
      <c r="K54" s="5">
        <v>0</v>
      </c>
      <c r="L54" s="5">
        <v>1</v>
      </c>
      <c r="M54" s="5">
        <v>0</v>
      </c>
      <c r="N54">
        <v>1</v>
      </c>
      <c r="O54" s="5">
        <v>5</v>
      </c>
      <c r="P54" s="5">
        <v>5</v>
      </c>
      <c r="Q54" s="5">
        <v>1</v>
      </c>
      <c r="R54" s="5">
        <v>0</v>
      </c>
      <c r="S54" s="5">
        <v>20</v>
      </c>
      <c r="T54">
        <v>6</v>
      </c>
      <c r="U54">
        <v>3</v>
      </c>
      <c r="V54">
        <v>1</v>
      </c>
      <c r="W54">
        <v>1</v>
      </c>
      <c r="X54" t="s">
        <v>48</v>
      </c>
      <c r="Y54">
        <v>2</v>
      </c>
      <c r="Z54" t="s">
        <v>34</v>
      </c>
      <c r="AA54">
        <v>15.09</v>
      </c>
      <c r="AB54">
        <v>5.42</v>
      </c>
      <c r="AC54">
        <v>60.06</v>
      </c>
      <c r="AD54" t="s">
        <v>167</v>
      </c>
    </row>
    <row r="55" spans="1:30">
      <c r="A55" s="1" t="s">
        <v>168</v>
      </c>
      <c r="B55" t="s">
        <v>169</v>
      </c>
      <c r="C55" s="2">
        <v>73</v>
      </c>
      <c r="D55">
        <v>1</v>
      </c>
      <c r="E55">
        <v>6.17</v>
      </c>
      <c r="F55">
        <v>0</v>
      </c>
      <c r="G55" s="5">
        <v>150</v>
      </c>
      <c r="H55" s="6">
        <v>60</v>
      </c>
      <c r="I55" s="3">
        <f t="shared" si="1"/>
        <v>26.6666666666667</v>
      </c>
      <c r="J55" s="5">
        <v>0</v>
      </c>
      <c r="K55" s="5">
        <v>0</v>
      </c>
      <c r="L55" s="5">
        <v>0</v>
      </c>
      <c r="M55" s="5">
        <v>0</v>
      </c>
      <c r="N55">
        <v>0</v>
      </c>
      <c r="O55" s="5">
        <v>5</v>
      </c>
      <c r="P55" s="5">
        <v>5</v>
      </c>
      <c r="Q55" s="5">
        <v>1</v>
      </c>
      <c r="R55" s="5">
        <v>1</v>
      </c>
      <c r="S55" s="5">
        <v>20</v>
      </c>
      <c r="T55">
        <v>6</v>
      </c>
      <c r="U55">
        <v>3</v>
      </c>
      <c r="V55">
        <v>1</v>
      </c>
      <c r="W55">
        <v>1</v>
      </c>
      <c r="X55" t="s">
        <v>33</v>
      </c>
      <c r="Y55">
        <v>2</v>
      </c>
      <c r="Z55" t="s">
        <v>33</v>
      </c>
      <c r="AA55">
        <v>18.28</v>
      </c>
      <c r="AB55">
        <v>13.4</v>
      </c>
      <c r="AC55">
        <v>139.1</v>
      </c>
      <c r="AD55" s="7" t="s">
        <v>170</v>
      </c>
    </row>
    <row r="56" spans="1:30">
      <c r="A56" s="1" t="s">
        <v>171</v>
      </c>
      <c r="B56" t="s">
        <v>172</v>
      </c>
      <c r="C56" s="2">
        <v>44</v>
      </c>
      <c r="D56">
        <v>0</v>
      </c>
      <c r="E56">
        <v>8.72</v>
      </c>
      <c r="F56">
        <v>0</v>
      </c>
      <c r="G56" s="8">
        <v>175</v>
      </c>
      <c r="H56" s="9">
        <v>70</v>
      </c>
      <c r="I56" s="3">
        <f t="shared" si="1"/>
        <v>22.8571428571429</v>
      </c>
      <c r="J56" s="8">
        <v>1</v>
      </c>
      <c r="K56" s="8">
        <v>1</v>
      </c>
      <c r="L56" s="8">
        <v>0</v>
      </c>
      <c r="M56" s="8">
        <v>0</v>
      </c>
      <c r="N56">
        <v>0</v>
      </c>
      <c r="O56" s="8">
        <v>5</v>
      </c>
      <c r="P56" s="8">
        <v>5</v>
      </c>
      <c r="Q56" s="8">
        <v>1</v>
      </c>
      <c r="R56" s="8">
        <v>1</v>
      </c>
      <c r="S56" s="8">
        <v>21</v>
      </c>
      <c r="T56">
        <v>4</v>
      </c>
      <c r="U56">
        <v>3</v>
      </c>
      <c r="V56">
        <v>0</v>
      </c>
      <c r="W56">
        <v>1</v>
      </c>
      <c r="X56" t="s">
        <v>33</v>
      </c>
      <c r="Y56">
        <v>3</v>
      </c>
      <c r="Z56" t="s">
        <v>37</v>
      </c>
      <c r="AA56">
        <v>21.56</v>
      </c>
      <c r="AB56">
        <v>8.75</v>
      </c>
      <c r="AC56">
        <v>170.15</v>
      </c>
    </row>
    <row r="57" spans="1:30">
      <c r="A57" s="1" t="s">
        <v>173</v>
      </c>
      <c r="B57" t="s">
        <v>174</v>
      </c>
      <c r="C57" s="2">
        <v>51</v>
      </c>
      <c r="D57">
        <v>0</v>
      </c>
      <c r="E57">
        <v>4.93</v>
      </c>
      <c r="F57">
        <v>0</v>
      </c>
      <c r="G57" s="5">
        <v>175</v>
      </c>
      <c r="H57" s="6">
        <v>80</v>
      </c>
      <c r="I57" s="3">
        <f t="shared" si="1"/>
        <v>26.1224489795918</v>
      </c>
      <c r="J57" s="5">
        <v>0</v>
      </c>
      <c r="K57" s="5">
        <v>0</v>
      </c>
      <c r="L57" s="5">
        <v>0</v>
      </c>
      <c r="M57" s="5">
        <v>0</v>
      </c>
      <c r="N57">
        <v>0</v>
      </c>
      <c r="O57" s="5">
        <v>5</v>
      </c>
      <c r="P57" s="5">
        <v>5</v>
      </c>
      <c r="Q57" s="5">
        <v>1</v>
      </c>
      <c r="R57" s="5">
        <v>1</v>
      </c>
      <c r="S57" s="5">
        <v>22</v>
      </c>
      <c r="T57">
        <v>4</v>
      </c>
      <c r="U57">
        <v>4</v>
      </c>
      <c r="V57">
        <v>0</v>
      </c>
      <c r="W57">
        <v>0</v>
      </c>
      <c r="X57" t="s">
        <v>48</v>
      </c>
      <c r="Y57">
        <v>2</v>
      </c>
      <c r="Z57" t="s">
        <v>37</v>
      </c>
      <c r="AA57">
        <v>18.08</v>
      </c>
      <c r="AB57">
        <v>10.45</v>
      </c>
      <c r="AC57">
        <v>82.87</v>
      </c>
    </row>
    <row r="58" spans="1:30">
      <c r="A58" s="1" t="s">
        <v>175</v>
      </c>
      <c r="B58" t="s">
        <v>176</v>
      </c>
      <c r="C58" s="2">
        <v>59</v>
      </c>
      <c r="D58">
        <v>1</v>
      </c>
      <c r="E58">
        <v>7.75</v>
      </c>
      <c r="F58">
        <v>0</v>
      </c>
      <c r="G58" s="5">
        <v>150</v>
      </c>
      <c r="H58" s="6">
        <v>50</v>
      </c>
      <c r="I58" s="3">
        <f t="shared" si="1"/>
        <v>22.2222222222222</v>
      </c>
      <c r="J58" s="5">
        <v>0</v>
      </c>
      <c r="K58" s="5">
        <v>0</v>
      </c>
      <c r="L58" s="5">
        <v>0</v>
      </c>
      <c r="M58" s="5">
        <v>0</v>
      </c>
      <c r="N58">
        <v>0</v>
      </c>
      <c r="O58" s="5">
        <v>5</v>
      </c>
      <c r="P58" s="5">
        <v>5</v>
      </c>
      <c r="Q58" s="5">
        <v>1</v>
      </c>
      <c r="R58" s="5">
        <v>1</v>
      </c>
      <c r="S58" s="5">
        <v>20</v>
      </c>
      <c r="T58">
        <v>5</v>
      </c>
      <c r="U58">
        <v>4</v>
      </c>
      <c r="V58">
        <v>0</v>
      </c>
      <c r="W58">
        <v>0</v>
      </c>
      <c r="X58" t="s">
        <v>33</v>
      </c>
      <c r="Y58">
        <v>2</v>
      </c>
      <c r="Z58" t="s">
        <v>33</v>
      </c>
      <c r="AA58">
        <v>17.3</v>
      </c>
      <c r="AB58">
        <v>7.94</v>
      </c>
      <c r="AC58">
        <v>92.99</v>
      </c>
    </row>
    <row r="59" spans="1:30">
      <c r="A59" s="1" t="s">
        <v>177</v>
      </c>
      <c r="B59" t="s">
        <v>178</v>
      </c>
      <c r="C59" s="2">
        <v>66</v>
      </c>
      <c r="D59">
        <v>0</v>
      </c>
      <c r="E59">
        <v>3.84</v>
      </c>
      <c r="F59">
        <v>0</v>
      </c>
      <c r="G59" s="5">
        <v>158</v>
      </c>
      <c r="H59" s="6">
        <v>53</v>
      </c>
      <c r="I59" s="3">
        <f t="shared" si="1"/>
        <v>21.2305720237141</v>
      </c>
      <c r="J59" s="5">
        <v>0</v>
      </c>
      <c r="K59" s="5">
        <v>0</v>
      </c>
      <c r="L59" s="5">
        <v>1</v>
      </c>
      <c r="M59" s="5">
        <v>1</v>
      </c>
      <c r="N59">
        <v>0</v>
      </c>
      <c r="O59" s="5">
        <v>5</v>
      </c>
      <c r="P59" s="5">
        <v>5</v>
      </c>
      <c r="Q59" s="5">
        <v>1</v>
      </c>
      <c r="R59" s="5">
        <v>1</v>
      </c>
      <c r="S59" s="5">
        <v>18</v>
      </c>
      <c r="T59">
        <v>6</v>
      </c>
      <c r="U59">
        <v>3</v>
      </c>
      <c r="V59">
        <v>0</v>
      </c>
      <c r="W59">
        <v>0</v>
      </c>
      <c r="X59" t="s">
        <v>33</v>
      </c>
      <c r="Y59">
        <v>2</v>
      </c>
      <c r="Z59" t="s">
        <v>37</v>
      </c>
      <c r="AA59">
        <v>17.18</v>
      </c>
      <c r="AB59">
        <v>7.52</v>
      </c>
      <c r="AC59">
        <v>89.95</v>
      </c>
    </row>
    <row r="60" spans="1:30">
      <c r="A60" s="1" t="s">
        <v>179</v>
      </c>
      <c r="B60" t="s">
        <v>180</v>
      </c>
      <c r="C60" s="2">
        <v>51</v>
      </c>
      <c r="D60">
        <v>0</v>
      </c>
      <c r="E60">
        <v>6.37</v>
      </c>
      <c r="F60">
        <v>0</v>
      </c>
      <c r="G60" s="5">
        <v>170</v>
      </c>
      <c r="H60" s="6">
        <v>67.5</v>
      </c>
      <c r="I60" s="3">
        <f t="shared" si="1"/>
        <v>23.356401384083</v>
      </c>
      <c r="J60" s="5">
        <v>0</v>
      </c>
      <c r="K60" s="5">
        <v>0</v>
      </c>
      <c r="L60" s="5">
        <v>0</v>
      </c>
      <c r="M60" s="5">
        <v>0</v>
      </c>
      <c r="N60">
        <v>0</v>
      </c>
      <c r="O60" s="5">
        <v>5</v>
      </c>
      <c r="P60" s="5">
        <v>5</v>
      </c>
      <c r="Q60" s="5">
        <v>1</v>
      </c>
      <c r="R60" s="5">
        <v>0</v>
      </c>
      <c r="S60" s="5">
        <v>20</v>
      </c>
      <c r="T60">
        <v>4</v>
      </c>
      <c r="U60">
        <v>3</v>
      </c>
      <c r="V60">
        <v>0</v>
      </c>
      <c r="W60">
        <v>0</v>
      </c>
      <c r="X60" t="s">
        <v>33</v>
      </c>
      <c r="Y60">
        <v>2</v>
      </c>
      <c r="Z60" t="s">
        <v>37</v>
      </c>
      <c r="AA60">
        <v>22.27</v>
      </c>
      <c r="AB60">
        <v>10.87</v>
      </c>
      <c r="AC60">
        <v>219.93</v>
      </c>
    </row>
    <row r="61" spans="1:30">
      <c r="A61" s="1" t="s">
        <v>181</v>
      </c>
      <c r="B61" t="s">
        <v>182</v>
      </c>
      <c r="C61" s="2">
        <v>57</v>
      </c>
      <c r="D61">
        <v>1</v>
      </c>
      <c r="E61">
        <v>4.51</v>
      </c>
      <c r="F61">
        <v>0</v>
      </c>
      <c r="G61" s="5">
        <v>158</v>
      </c>
      <c r="H61" s="6">
        <v>53</v>
      </c>
      <c r="I61" s="3">
        <f t="shared" si="1"/>
        <v>21.2305720237141</v>
      </c>
      <c r="J61" s="5">
        <v>0</v>
      </c>
      <c r="K61" s="5">
        <v>0</v>
      </c>
      <c r="L61" s="5">
        <v>1</v>
      </c>
      <c r="M61" s="5">
        <v>1</v>
      </c>
      <c r="N61">
        <v>0</v>
      </c>
      <c r="O61" s="5">
        <v>5</v>
      </c>
      <c r="P61" s="5">
        <v>5</v>
      </c>
      <c r="Q61" s="5">
        <v>1</v>
      </c>
      <c r="R61" s="5">
        <v>1</v>
      </c>
      <c r="S61" s="5">
        <v>17</v>
      </c>
      <c r="T61">
        <v>6</v>
      </c>
      <c r="U61">
        <v>4</v>
      </c>
      <c r="V61">
        <v>0</v>
      </c>
      <c r="W61">
        <v>0</v>
      </c>
      <c r="X61" t="s">
        <v>48</v>
      </c>
      <c r="Y61">
        <v>2</v>
      </c>
      <c r="Z61" t="s">
        <v>33</v>
      </c>
      <c r="AA61">
        <v>17.23</v>
      </c>
      <c r="AB61">
        <v>6.57</v>
      </c>
      <c r="AC61">
        <v>57.09</v>
      </c>
    </row>
    <row r="62" spans="1:30">
      <c r="A62" s="1" t="s">
        <v>183</v>
      </c>
      <c r="B62" t="s">
        <v>184</v>
      </c>
      <c r="C62" s="2">
        <v>37</v>
      </c>
      <c r="D62">
        <v>0</v>
      </c>
      <c r="E62">
        <v>4.97</v>
      </c>
      <c r="F62">
        <v>0</v>
      </c>
      <c r="G62" s="5">
        <v>177</v>
      </c>
      <c r="H62" s="6">
        <v>70</v>
      </c>
      <c r="I62" s="3">
        <f t="shared" si="1"/>
        <v>22.343515592582</v>
      </c>
      <c r="J62" s="5">
        <v>0</v>
      </c>
      <c r="K62" s="5">
        <v>0</v>
      </c>
      <c r="L62" s="5">
        <v>0</v>
      </c>
      <c r="M62" s="5">
        <v>0</v>
      </c>
      <c r="N62">
        <v>1</v>
      </c>
      <c r="O62" s="5">
        <v>5</v>
      </c>
      <c r="P62" s="5">
        <v>5</v>
      </c>
      <c r="Q62" s="5">
        <v>1</v>
      </c>
      <c r="R62" s="5">
        <v>1</v>
      </c>
      <c r="S62" s="5">
        <v>9</v>
      </c>
      <c r="T62">
        <v>4</v>
      </c>
      <c r="U62">
        <v>3</v>
      </c>
      <c r="V62">
        <v>0</v>
      </c>
      <c r="W62">
        <v>1</v>
      </c>
      <c r="X62" t="s">
        <v>33</v>
      </c>
      <c r="Y62">
        <v>2</v>
      </c>
      <c r="Z62" t="s">
        <v>37</v>
      </c>
      <c r="AA62">
        <v>16.78</v>
      </c>
      <c r="AB62">
        <v>8.88</v>
      </c>
      <c r="AC62">
        <v>118.69</v>
      </c>
    </row>
    <row r="63" spans="1:30">
      <c r="A63" s="1" t="s">
        <v>185</v>
      </c>
      <c r="B63" t="s">
        <v>186</v>
      </c>
      <c r="C63" s="2">
        <v>36</v>
      </c>
      <c r="D63">
        <v>0</v>
      </c>
      <c r="E63">
        <v>3.18</v>
      </c>
      <c r="F63">
        <v>0</v>
      </c>
      <c r="G63" s="5">
        <v>180</v>
      </c>
      <c r="H63" s="6">
        <v>85</v>
      </c>
      <c r="I63" s="3">
        <f t="shared" si="1"/>
        <v>26.2345679012346</v>
      </c>
      <c r="J63" s="5">
        <v>0</v>
      </c>
      <c r="K63" s="5">
        <v>0</v>
      </c>
      <c r="L63" s="5">
        <v>0</v>
      </c>
      <c r="M63" s="5">
        <v>0</v>
      </c>
      <c r="N63">
        <v>0</v>
      </c>
      <c r="O63" s="5">
        <v>5</v>
      </c>
      <c r="P63" s="5">
        <v>5</v>
      </c>
      <c r="Q63" s="5">
        <v>1</v>
      </c>
      <c r="R63" s="5">
        <v>1</v>
      </c>
      <c r="S63" s="5">
        <v>10</v>
      </c>
      <c r="T63">
        <v>6</v>
      </c>
      <c r="U63">
        <v>3</v>
      </c>
      <c r="V63">
        <v>0</v>
      </c>
      <c r="W63">
        <v>1</v>
      </c>
      <c r="X63" t="s">
        <v>48</v>
      </c>
      <c r="Y63">
        <v>2</v>
      </c>
      <c r="Z63" t="s">
        <v>37</v>
      </c>
      <c r="AA63">
        <v>17.4</v>
      </c>
      <c r="AB63">
        <v>4.08</v>
      </c>
      <c r="AC63">
        <v>69.99</v>
      </c>
    </row>
    <row r="64" spans="1:30">
      <c r="A64" s="1" t="s">
        <v>187</v>
      </c>
      <c r="B64" t="s">
        <v>188</v>
      </c>
      <c r="C64" s="2">
        <v>56</v>
      </c>
      <c r="D64">
        <v>0</v>
      </c>
      <c r="E64">
        <v>6.28</v>
      </c>
      <c r="F64">
        <v>0</v>
      </c>
      <c r="G64" s="5">
        <v>163</v>
      </c>
      <c r="H64" s="6">
        <v>68.5</v>
      </c>
      <c r="I64" s="3">
        <f t="shared" si="1"/>
        <v>25.7819263050924</v>
      </c>
      <c r="J64" s="5">
        <v>0</v>
      </c>
      <c r="K64" s="5">
        <v>0</v>
      </c>
      <c r="L64" s="5">
        <v>0</v>
      </c>
      <c r="M64" s="5">
        <v>0</v>
      </c>
      <c r="N64">
        <v>1</v>
      </c>
      <c r="O64" s="5">
        <v>5</v>
      </c>
      <c r="P64" s="5">
        <v>5</v>
      </c>
      <c r="Q64" s="5">
        <v>1</v>
      </c>
      <c r="R64" s="5">
        <v>1</v>
      </c>
      <c r="S64" s="5">
        <v>16</v>
      </c>
      <c r="T64">
        <v>6</v>
      </c>
      <c r="U64">
        <v>4</v>
      </c>
      <c r="V64">
        <v>0</v>
      </c>
      <c r="W64">
        <v>1</v>
      </c>
      <c r="X64" t="s">
        <v>48</v>
      </c>
      <c r="Y64">
        <v>2</v>
      </c>
      <c r="Z64" t="s">
        <v>33</v>
      </c>
      <c r="AA64">
        <v>21.46</v>
      </c>
      <c r="AB64">
        <v>6.43</v>
      </c>
      <c r="AC64">
        <v>118.82</v>
      </c>
      <c r="AD64" t="s">
        <v>189</v>
      </c>
    </row>
    <row r="65" spans="1:30">
      <c r="A65" s="1" t="s">
        <v>190</v>
      </c>
      <c r="B65" t="s">
        <v>191</v>
      </c>
      <c r="C65" s="2">
        <v>48</v>
      </c>
      <c r="D65">
        <v>0</v>
      </c>
      <c r="E65">
        <v>-1.71</v>
      </c>
      <c r="F65">
        <v>1</v>
      </c>
      <c r="G65" s="5">
        <v>163</v>
      </c>
      <c r="H65" s="6">
        <v>65</v>
      </c>
      <c r="I65" s="3">
        <f t="shared" si="1"/>
        <v>24.4646016033724</v>
      </c>
      <c r="J65" s="5">
        <v>0</v>
      </c>
      <c r="K65" s="5">
        <v>0</v>
      </c>
      <c r="L65" s="5">
        <v>1</v>
      </c>
      <c r="M65" s="5">
        <v>0</v>
      </c>
      <c r="N65">
        <v>1</v>
      </c>
      <c r="O65" s="5">
        <v>5</v>
      </c>
      <c r="P65" s="5">
        <v>0</v>
      </c>
      <c r="Q65" s="5">
        <v>1</v>
      </c>
      <c r="R65" s="5">
        <v>1</v>
      </c>
      <c r="S65" s="5">
        <v>8</v>
      </c>
      <c r="T65">
        <v>7</v>
      </c>
      <c r="U65">
        <v>4</v>
      </c>
      <c r="V65">
        <v>0</v>
      </c>
      <c r="W65">
        <v>1</v>
      </c>
      <c r="X65" t="s">
        <v>33</v>
      </c>
      <c r="Y65">
        <v>3</v>
      </c>
      <c r="Z65" t="s">
        <v>37</v>
      </c>
      <c r="AA65">
        <v>17.13</v>
      </c>
      <c r="AB65">
        <v>6.08</v>
      </c>
      <c r="AC65">
        <v>89.1</v>
      </c>
    </row>
    <row r="66" spans="1:30">
      <c r="A66" s="1" t="s">
        <v>192</v>
      </c>
      <c r="B66" t="s">
        <v>193</v>
      </c>
      <c r="C66" s="2">
        <v>71</v>
      </c>
      <c r="D66">
        <v>1</v>
      </c>
      <c r="E66">
        <v>4.57</v>
      </c>
      <c r="F66">
        <v>1</v>
      </c>
      <c r="G66" s="5">
        <v>158</v>
      </c>
      <c r="H66" s="6">
        <v>60</v>
      </c>
      <c r="I66" s="3">
        <f t="shared" si="1"/>
        <v>24.034609838167</v>
      </c>
      <c r="J66" s="5">
        <v>0</v>
      </c>
      <c r="K66" s="5">
        <v>0</v>
      </c>
      <c r="L66" s="5">
        <v>1</v>
      </c>
      <c r="M66" s="5">
        <v>0</v>
      </c>
      <c r="N66">
        <v>1</v>
      </c>
      <c r="O66" s="5">
        <v>3</v>
      </c>
      <c r="P66" s="5">
        <v>4</v>
      </c>
      <c r="Q66" s="5">
        <v>1</v>
      </c>
      <c r="R66" s="5">
        <v>0</v>
      </c>
      <c r="S66" s="5">
        <v>13</v>
      </c>
      <c r="T66">
        <v>6</v>
      </c>
      <c r="U66">
        <v>4</v>
      </c>
      <c r="V66">
        <v>1</v>
      </c>
      <c r="W66">
        <v>1</v>
      </c>
      <c r="X66" t="s">
        <v>33</v>
      </c>
      <c r="Y66">
        <v>2</v>
      </c>
      <c r="Z66" t="s">
        <v>37</v>
      </c>
      <c r="AA66">
        <v>16.52</v>
      </c>
      <c r="AB66">
        <v>8.26</v>
      </c>
      <c r="AC66">
        <v>137.24</v>
      </c>
    </row>
    <row r="67" spans="1:30">
      <c r="A67" s="1" t="s">
        <v>194</v>
      </c>
      <c r="B67" t="s">
        <v>195</v>
      </c>
      <c r="C67" s="2">
        <v>59</v>
      </c>
      <c r="D67">
        <v>1</v>
      </c>
      <c r="E67">
        <v>6.15</v>
      </c>
      <c r="F67">
        <v>1</v>
      </c>
      <c r="G67" s="5">
        <v>166</v>
      </c>
      <c r="H67" s="6">
        <v>66</v>
      </c>
      <c r="I67" s="3">
        <f t="shared" si="1"/>
        <v>23.9512265931195</v>
      </c>
      <c r="J67" s="5">
        <v>0</v>
      </c>
      <c r="K67" s="5">
        <v>0</v>
      </c>
      <c r="L67" s="5">
        <v>1</v>
      </c>
      <c r="M67" s="5">
        <v>1</v>
      </c>
      <c r="N67">
        <v>0</v>
      </c>
      <c r="O67" s="5">
        <v>3</v>
      </c>
      <c r="P67" s="5">
        <v>5</v>
      </c>
      <c r="Q67" s="5">
        <v>1</v>
      </c>
      <c r="R67" s="5">
        <v>1</v>
      </c>
      <c r="S67" s="5">
        <v>16</v>
      </c>
      <c r="T67">
        <v>5</v>
      </c>
      <c r="U67">
        <v>4</v>
      </c>
      <c r="V67">
        <v>1</v>
      </c>
      <c r="W67">
        <v>0</v>
      </c>
      <c r="X67" t="s">
        <v>48</v>
      </c>
      <c r="Y67">
        <v>1</v>
      </c>
      <c r="Z67" t="s">
        <v>34</v>
      </c>
      <c r="AA67">
        <v>19.11</v>
      </c>
      <c r="AB67">
        <v>9.1</v>
      </c>
      <c r="AC67">
        <v>92.65</v>
      </c>
      <c r="AD67" s="4" t="s">
        <v>196</v>
      </c>
    </row>
    <row r="68" spans="1:30">
      <c r="A68" s="1" t="s">
        <v>197</v>
      </c>
      <c r="B68" t="s">
        <v>198</v>
      </c>
      <c r="C68" s="2">
        <v>58</v>
      </c>
      <c r="D68">
        <v>1</v>
      </c>
      <c r="E68">
        <v>6.15</v>
      </c>
      <c r="F68">
        <v>1</v>
      </c>
      <c r="G68" s="5">
        <v>155</v>
      </c>
      <c r="H68" s="6">
        <v>65</v>
      </c>
      <c r="I68" s="3">
        <f t="shared" si="1"/>
        <v>27.0551508844953</v>
      </c>
      <c r="J68" s="5">
        <v>0</v>
      </c>
      <c r="K68" s="5">
        <v>0</v>
      </c>
      <c r="L68" s="5">
        <v>0</v>
      </c>
      <c r="M68" s="5">
        <v>0</v>
      </c>
      <c r="N68">
        <v>0</v>
      </c>
      <c r="O68" s="5">
        <v>5</v>
      </c>
      <c r="P68" s="5">
        <v>0</v>
      </c>
      <c r="Q68" s="5">
        <v>1</v>
      </c>
      <c r="R68" s="5">
        <v>1</v>
      </c>
      <c r="S68" s="5">
        <v>12</v>
      </c>
      <c r="T68">
        <v>5</v>
      </c>
      <c r="U68">
        <v>4</v>
      </c>
      <c r="V68">
        <v>0</v>
      </c>
      <c r="W68">
        <v>1</v>
      </c>
      <c r="X68" t="s">
        <v>48</v>
      </c>
      <c r="Y68">
        <v>2</v>
      </c>
      <c r="Z68" t="s">
        <v>37</v>
      </c>
      <c r="AA68">
        <v>14.52</v>
      </c>
      <c r="AB68">
        <v>10.43</v>
      </c>
      <c r="AC68">
        <v>70.75</v>
      </c>
      <c r="AD68" t="s">
        <v>199</v>
      </c>
    </row>
    <row r="69" spans="1:30">
      <c r="A69" s="1" t="s">
        <v>200</v>
      </c>
      <c r="B69" t="s">
        <v>201</v>
      </c>
      <c r="C69" s="2">
        <v>58</v>
      </c>
      <c r="D69">
        <v>1</v>
      </c>
      <c r="E69">
        <v>7.69</v>
      </c>
      <c r="F69">
        <v>0</v>
      </c>
      <c r="G69" s="5">
        <v>155</v>
      </c>
      <c r="H69" s="6">
        <v>52</v>
      </c>
      <c r="I69" s="3">
        <f t="shared" si="1"/>
        <v>21.6441207075963</v>
      </c>
      <c r="J69" s="5">
        <v>0</v>
      </c>
      <c r="K69" s="5">
        <v>0</v>
      </c>
      <c r="L69" s="5">
        <v>0</v>
      </c>
      <c r="M69" s="5">
        <v>0</v>
      </c>
      <c r="N69">
        <v>1</v>
      </c>
      <c r="O69" s="5">
        <v>4</v>
      </c>
      <c r="P69" s="5">
        <v>5</v>
      </c>
      <c r="Q69" s="5">
        <v>1</v>
      </c>
      <c r="R69" s="5">
        <v>1</v>
      </c>
      <c r="S69" s="5">
        <v>11</v>
      </c>
      <c r="T69">
        <v>6</v>
      </c>
      <c r="U69">
        <v>3</v>
      </c>
      <c r="V69">
        <v>1</v>
      </c>
      <c r="W69">
        <v>0</v>
      </c>
      <c r="X69" t="s">
        <v>48</v>
      </c>
      <c r="Y69">
        <v>2</v>
      </c>
      <c r="Z69" t="s">
        <v>33</v>
      </c>
      <c r="AA69">
        <v>16.55</v>
      </c>
      <c r="AB69">
        <v>8.81</v>
      </c>
      <c r="AC69">
        <v>94.46</v>
      </c>
    </row>
    <row r="70" spans="1:30">
      <c r="A70" s="1" t="s">
        <v>202</v>
      </c>
      <c r="B70" t="s">
        <v>203</v>
      </c>
      <c r="C70" s="2">
        <v>43</v>
      </c>
      <c r="D70">
        <v>0</v>
      </c>
      <c r="E70">
        <v>2.85</v>
      </c>
      <c r="F70">
        <v>0</v>
      </c>
      <c r="G70" s="5">
        <v>167</v>
      </c>
      <c r="H70" s="6">
        <v>61</v>
      </c>
      <c r="I70" s="3">
        <f t="shared" si="1"/>
        <v>21.8724228190326</v>
      </c>
      <c r="J70" s="5">
        <v>1</v>
      </c>
      <c r="K70" s="5">
        <v>0</v>
      </c>
      <c r="L70" s="5">
        <v>0</v>
      </c>
      <c r="M70" s="5">
        <v>0</v>
      </c>
      <c r="N70">
        <v>1</v>
      </c>
      <c r="O70" s="5">
        <v>5</v>
      </c>
      <c r="P70" s="5">
        <v>5</v>
      </c>
      <c r="Q70" s="5">
        <v>1</v>
      </c>
      <c r="R70" s="5">
        <v>1</v>
      </c>
      <c r="S70" s="5">
        <v>10</v>
      </c>
      <c r="T70">
        <v>6</v>
      </c>
      <c r="U70">
        <v>4</v>
      </c>
      <c r="V70">
        <v>0</v>
      </c>
      <c r="W70">
        <v>0</v>
      </c>
      <c r="X70" t="s">
        <v>34</v>
      </c>
      <c r="Y70">
        <v>2</v>
      </c>
      <c r="Z70" t="s">
        <v>37</v>
      </c>
      <c r="AA70">
        <v>14.52</v>
      </c>
      <c r="AB70">
        <v>9.47</v>
      </c>
      <c r="AC70">
        <v>51.8</v>
      </c>
    </row>
    <row r="71" spans="1:30">
      <c r="A71" s="1" t="s">
        <v>204</v>
      </c>
      <c r="B71" t="s">
        <v>205</v>
      </c>
      <c r="C71" s="2">
        <v>48</v>
      </c>
      <c r="D71">
        <v>0</v>
      </c>
      <c r="E71">
        <v>7.51</v>
      </c>
      <c r="F71">
        <v>0</v>
      </c>
      <c r="G71" s="5">
        <v>173</v>
      </c>
      <c r="H71" s="6">
        <v>76</v>
      </c>
      <c r="I71" s="3">
        <f t="shared" si="1"/>
        <v>25.3934311203181</v>
      </c>
      <c r="J71" s="5">
        <v>1</v>
      </c>
      <c r="K71" s="5">
        <v>0</v>
      </c>
      <c r="L71" s="5">
        <v>0</v>
      </c>
      <c r="M71" s="5">
        <v>0</v>
      </c>
      <c r="N71">
        <v>0</v>
      </c>
      <c r="O71" s="5">
        <v>5</v>
      </c>
      <c r="P71" s="5">
        <v>5</v>
      </c>
      <c r="Q71" s="5">
        <v>1</v>
      </c>
      <c r="R71" s="5">
        <v>1</v>
      </c>
      <c r="S71" s="5">
        <v>14</v>
      </c>
      <c r="T71">
        <v>6</v>
      </c>
      <c r="U71">
        <v>4</v>
      </c>
      <c r="V71">
        <v>0</v>
      </c>
      <c r="W71">
        <v>1</v>
      </c>
      <c r="X71" t="s">
        <v>48</v>
      </c>
      <c r="Y71">
        <v>2</v>
      </c>
      <c r="Z71" t="s">
        <v>37</v>
      </c>
      <c r="AA71">
        <v>19.09</v>
      </c>
      <c r="AB71">
        <v>11.43</v>
      </c>
      <c r="AC71">
        <v>74.68</v>
      </c>
    </row>
    <row r="72" spans="1:30">
      <c r="A72" s="1" t="s">
        <v>206</v>
      </c>
      <c r="B72" t="s">
        <v>207</v>
      </c>
      <c r="C72" s="2">
        <v>35</v>
      </c>
      <c r="D72">
        <v>0</v>
      </c>
      <c r="E72">
        <v>4.13</v>
      </c>
      <c r="F72">
        <v>0</v>
      </c>
      <c r="G72" s="5">
        <v>170</v>
      </c>
      <c r="H72" s="6">
        <v>58</v>
      </c>
      <c r="I72" s="3">
        <f t="shared" si="1"/>
        <v>20.0692041522491</v>
      </c>
      <c r="J72" s="5">
        <v>0</v>
      </c>
      <c r="K72" s="5">
        <v>0</v>
      </c>
      <c r="L72" s="5">
        <v>0</v>
      </c>
      <c r="M72" s="5">
        <v>0</v>
      </c>
      <c r="N72">
        <v>0</v>
      </c>
      <c r="O72" s="5">
        <v>5</v>
      </c>
      <c r="P72" s="5">
        <v>5</v>
      </c>
      <c r="Q72" s="5">
        <v>1</v>
      </c>
      <c r="R72" s="5">
        <v>1</v>
      </c>
      <c r="S72" s="5">
        <v>11</v>
      </c>
      <c r="T72">
        <v>6</v>
      </c>
      <c r="U72">
        <v>3</v>
      </c>
      <c r="V72">
        <v>0</v>
      </c>
      <c r="W72">
        <v>0</v>
      </c>
      <c r="X72" t="s">
        <v>33</v>
      </c>
      <c r="Y72">
        <v>1</v>
      </c>
      <c r="Z72" t="s">
        <v>34</v>
      </c>
      <c r="AA72">
        <v>19.03</v>
      </c>
      <c r="AB72">
        <v>10.64</v>
      </c>
      <c r="AC72">
        <v>117.71</v>
      </c>
    </row>
    <row r="73" spans="1:30">
      <c r="A73" s="1" t="s">
        <v>208</v>
      </c>
      <c r="B73" t="s">
        <v>209</v>
      </c>
      <c r="C73" s="2">
        <v>42</v>
      </c>
      <c r="D73">
        <v>0</v>
      </c>
      <c r="E73">
        <v>1.82</v>
      </c>
      <c r="F73">
        <v>0</v>
      </c>
      <c r="G73" s="5">
        <v>175</v>
      </c>
      <c r="H73" s="6">
        <v>72</v>
      </c>
      <c r="I73" s="3">
        <f t="shared" si="1"/>
        <v>23.5102040816327</v>
      </c>
      <c r="J73" s="5">
        <v>1</v>
      </c>
      <c r="K73" s="5">
        <v>0</v>
      </c>
      <c r="L73" s="5">
        <v>0</v>
      </c>
      <c r="M73" s="5">
        <v>0</v>
      </c>
      <c r="N73">
        <v>0</v>
      </c>
      <c r="O73" s="5">
        <v>5</v>
      </c>
      <c r="P73" s="5">
        <v>5</v>
      </c>
      <c r="Q73" s="5">
        <v>1</v>
      </c>
      <c r="R73" s="5">
        <v>1</v>
      </c>
      <c r="S73" s="5">
        <v>9</v>
      </c>
      <c r="T73">
        <v>4</v>
      </c>
      <c r="U73">
        <v>3</v>
      </c>
      <c r="V73">
        <v>0</v>
      </c>
      <c r="W73">
        <v>0</v>
      </c>
      <c r="X73" t="s">
        <v>34</v>
      </c>
      <c r="Y73">
        <v>2</v>
      </c>
      <c r="Z73" t="s">
        <v>37</v>
      </c>
      <c r="AA73">
        <v>18.75</v>
      </c>
      <c r="AB73">
        <v>11.24</v>
      </c>
      <c r="AC73">
        <v>116.98</v>
      </c>
    </row>
    <row r="74" spans="1:30">
      <c r="A74" s="1" t="s">
        <v>210</v>
      </c>
      <c r="B74" t="s">
        <v>211</v>
      </c>
      <c r="C74" s="2">
        <v>47</v>
      </c>
      <c r="D74">
        <v>0</v>
      </c>
      <c r="E74">
        <v>5.57</v>
      </c>
      <c r="F74">
        <v>0</v>
      </c>
      <c r="G74" s="5">
        <v>179</v>
      </c>
      <c r="H74" s="6">
        <v>87</v>
      </c>
      <c r="I74" s="3">
        <f t="shared" ref="I74:I137" si="2">H74/((G74/100)^2)</f>
        <v>27.1527105895571</v>
      </c>
      <c r="J74" s="5">
        <v>0</v>
      </c>
      <c r="K74" s="5">
        <v>0</v>
      </c>
      <c r="L74" s="5">
        <v>0</v>
      </c>
      <c r="M74" s="5">
        <v>0</v>
      </c>
      <c r="N74">
        <v>0</v>
      </c>
      <c r="O74" s="5">
        <v>5</v>
      </c>
      <c r="P74" s="5">
        <v>5</v>
      </c>
      <c r="Q74" s="5">
        <v>1</v>
      </c>
      <c r="R74" s="5">
        <v>1</v>
      </c>
      <c r="S74" s="5">
        <v>16</v>
      </c>
      <c r="T74">
        <v>4</v>
      </c>
      <c r="U74">
        <v>4</v>
      </c>
      <c r="V74">
        <v>0</v>
      </c>
      <c r="W74">
        <v>1</v>
      </c>
      <c r="X74" t="s">
        <v>48</v>
      </c>
      <c r="Y74">
        <v>2</v>
      </c>
      <c r="Z74" t="s">
        <v>33</v>
      </c>
      <c r="AA74">
        <v>17.41</v>
      </c>
      <c r="AB74">
        <v>7.31</v>
      </c>
      <c r="AC74">
        <v>97.71</v>
      </c>
    </row>
    <row r="75" spans="1:30">
      <c r="A75" s="1" t="s">
        <v>212</v>
      </c>
      <c r="B75" t="s">
        <v>213</v>
      </c>
      <c r="C75" s="2">
        <v>63</v>
      </c>
      <c r="D75">
        <v>0</v>
      </c>
      <c r="E75">
        <v>11.87</v>
      </c>
      <c r="F75">
        <v>0</v>
      </c>
      <c r="G75" s="5">
        <v>170</v>
      </c>
      <c r="H75" s="6">
        <v>75</v>
      </c>
      <c r="I75" s="3">
        <f t="shared" si="2"/>
        <v>25.9515570934256</v>
      </c>
      <c r="J75" s="5">
        <v>0</v>
      </c>
      <c r="K75" s="5">
        <v>0</v>
      </c>
      <c r="L75" s="5">
        <v>0</v>
      </c>
      <c r="M75" s="5">
        <v>0</v>
      </c>
      <c r="N75">
        <v>1</v>
      </c>
      <c r="O75" s="5">
        <v>5</v>
      </c>
      <c r="P75" s="5">
        <v>5</v>
      </c>
      <c r="Q75" s="5">
        <v>1</v>
      </c>
      <c r="R75" s="5">
        <v>1</v>
      </c>
      <c r="S75" s="5">
        <v>19</v>
      </c>
      <c r="T75">
        <v>4</v>
      </c>
      <c r="U75">
        <v>3</v>
      </c>
      <c r="V75">
        <v>0</v>
      </c>
      <c r="W75">
        <v>0</v>
      </c>
      <c r="X75" t="s">
        <v>33</v>
      </c>
      <c r="Y75">
        <v>2</v>
      </c>
      <c r="Z75" t="s">
        <v>37</v>
      </c>
      <c r="AA75">
        <v>22.38</v>
      </c>
      <c r="AB75">
        <v>15.96</v>
      </c>
      <c r="AC75">
        <v>247.24</v>
      </c>
    </row>
    <row r="76" spans="1:30">
      <c r="A76" s="1" t="s">
        <v>214</v>
      </c>
      <c r="B76" t="s">
        <v>215</v>
      </c>
      <c r="C76" s="2">
        <v>62</v>
      </c>
      <c r="D76">
        <v>0</v>
      </c>
      <c r="E76">
        <v>4</v>
      </c>
      <c r="F76">
        <v>0</v>
      </c>
      <c r="G76" s="5">
        <v>170</v>
      </c>
      <c r="H76" s="6">
        <v>78</v>
      </c>
      <c r="I76" s="3">
        <f t="shared" si="2"/>
        <v>26.9896193771626</v>
      </c>
      <c r="J76" s="5">
        <v>0</v>
      </c>
      <c r="K76" s="5">
        <v>0</v>
      </c>
      <c r="L76" s="5">
        <v>1</v>
      </c>
      <c r="M76" s="5">
        <v>0</v>
      </c>
      <c r="N76">
        <v>0</v>
      </c>
      <c r="O76" s="5">
        <v>5</v>
      </c>
      <c r="P76" s="5">
        <v>5</v>
      </c>
      <c r="Q76" s="5">
        <v>1</v>
      </c>
      <c r="R76" s="5">
        <v>1</v>
      </c>
      <c r="S76" s="5">
        <v>14</v>
      </c>
      <c r="T76">
        <v>4</v>
      </c>
      <c r="U76">
        <v>4</v>
      </c>
      <c r="V76">
        <v>0</v>
      </c>
      <c r="W76">
        <v>1</v>
      </c>
      <c r="X76" t="s">
        <v>34</v>
      </c>
      <c r="Y76">
        <v>2</v>
      </c>
      <c r="Z76" t="s">
        <v>37</v>
      </c>
      <c r="AA76">
        <v>18.01</v>
      </c>
      <c r="AB76">
        <v>7.84</v>
      </c>
      <c r="AC76">
        <v>57.21</v>
      </c>
    </row>
    <row r="77" spans="1:30">
      <c r="A77" s="1" t="s">
        <v>216</v>
      </c>
      <c r="B77" t="s">
        <v>217</v>
      </c>
      <c r="C77" s="2">
        <v>53</v>
      </c>
      <c r="D77">
        <v>1</v>
      </c>
      <c r="E77">
        <v>3.3</v>
      </c>
      <c r="F77">
        <v>0</v>
      </c>
      <c r="G77" s="5">
        <v>160</v>
      </c>
      <c r="H77" s="6">
        <v>65</v>
      </c>
      <c r="I77" s="3">
        <f t="shared" si="2"/>
        <v>25.390625</v>
      </c>
      <c r="J77" s="5">
        <v>0</v>
      </c>
      <c r="K77" s="5">
        <v>0</v>
      </c>
      <c r="L77" s="5">
        <v>1</v>
      </c>
      <c r="M77" s="5">
        <v>1</v>
      </c>
      <c r="N77">
        <v>0</v>
      </c>
      <c r="O77" s="5">
        <v>5</v>
      </c>
      <c r="P77" s="5">
        <v>5</v>
      </c>
      <c r="Q77" s="5">
        <v>1</v>
      </c>
      <c r="R77" s="5">
        <v>1</v>
      </c>
      <c r="S77" s="5">
        <v>12</v>
      </c>
      <c r="T77">
        <v>6</v>
      </c>
      <c r="U77">
        <v>3</v>
      </c>
      <c r="V77">
        <v>0</v>
      </c>
      <c r="W77">
        <v>0</v>
      </c>
      <c r="X77" t="s">
        <v>34</v>
      </c>
      <c r="Y77">
        <v>2</v>
      </c>
      <c r="Z77" t="s">
        <v>37</v>
      </c>
      <c r="AA77">
        <v>22.15</v>
      </c>
      <c r="AB77">
        <v>12.56</v>
      </c>
      <c r="AC77">
        <v>140.76</v>
      </c>
    </row>
    <row r="78" spans="1:30">
      <c r="A78" s="1" t="s">
        <v>218</v>
      </c>
      <c r="B78" t="s">
        <v>219</v>
      </c>
      <c r="C78" s="2">
        <v>40</v>
      </c>
      <c r="D78">
        <v>1</v>
      </c>
      <c r="E78">
        <v>5.61</v>
      </c>
      <c r="F78">
        <v>0</v>
      </c>
      <c r="G78" s="5">
        <v>158</v>
      </c>
      <c r="H78" s="6">
        <v>46</v>
      </c>
      <c r="I78" s="3">
        <f t="shared" si="2"/>
        <v>18.4265342092613</v>
      </c>
      <c r="J78" s="5">
        <v>0</v>
      </c>
      <c r="K78" s="5">
        <v>0</v>
      </c>
      <c r="L78" s="5">
        <v>0</v>
      </c>
      <c r="M78" s="5">
        <v>0</v>
      </c>
      <c r="N78">
        <v>1</v>
      </c>
      <c r="O78" s="5">
        <v>5</v>
      </c>
      <c r="P78" s="5">
        <v>5</v>
      </c>
      <c r="Q78" s="5">
        <v>1</v>
      </c>
      <c r="R78" s="5">
        <v>0</v>
      </c>
      <c r="S78" s="5">
        <v>15</v>
      </c>
      <c r="T78">
        <v>5</v>
      </c>
      <c r="U78">
        <v>3</v>
      </c>
      <c r="V78">
        <v>0</v>
      </c>
      <c r="W78">
        <v>1</v>
      </c>
      <c r="X78" t="s">
        <v>34</v>
      </c>
      <c r="Y78">
        <v>3</v>
      </c>
      <c r="Z78" t="s">
        <v>37</v>
      </c>
      <c r="AA78">
        <v>17.92</v>
      </c>
      <c r="AB78">
        <v>9.54</v>
      </c>
      <c r="AC78">
        <v>123.33</v>
      </c>
      <c r="AD78" t="s">
        <v>220</v>
      </c>
    </row>
    <row r="79" spans="1:30">
      <c r="A79" s="1" t="s">
        <v>221</v>
      </c>
      <c r="B79" t="s">
        <v>222</v>
      </c>
      <c r="C79" s="2">
        <v>61</v>
      </c>
      <c r="D79">
        <v>0</v>
      </c>
      <c r="E79">
        <v>4.82</v>
      </c>
      <c r="F79">
        <v>1</v>
      </c>
      <c r="G79" s="5">
        <v>186</v>
      </c>
      <c r="H79" s="6">
        <v>79</v>
      </c>
      <c r="I79" s="3">
        <f t="shared" si="2"/>
        <v>22.8350098277257</v>
      </c>
      <c r="J79" s="5">
        <v>0</v>
      </c>
      <c r="K79" s="5">
        <v>0</v>
      </c>
      <c r="L79" s="5">
        <v>1</v>
      </c>
      <c r="M79" s="5">
        <v>0</v>
      </c>
      <c r="N79">
        <v>1</v>
      </c>
      <c r="O79" s="5">
        <v>5</v>
      </c>
      <c r="P79" s="5">
        <v>1</v>
      </c>
      <c r="Q79" s="5">
        <v>1</v>
      </c>
      <c r="R79" s="5">
        <v>1</v>
      </c>
      <c r="S79" s="5">
        <v>14</v>
      </c>
      <c r="T79">
        <v>4</v>
      </c>
      <c r="U79">
        <v>3</v>
      </c>
      <c r="V79">
        <v>1</v>
      </c>
      <c r="W79">
        <v>1</v>
      </c>
      <c r="X79" t="s">
        <v>48</v>
      </c>
      <c r="Y79">
        <v>2</v>
      </c>
      <c r="Z79" t="s">
        <v>34</v>
      </c>
      <c r="AA79">
        <v>20.87</v>
      </c>
      <c r="AB79">
        <v>14.39</v>
      </c>
      <c r="AC79">
        <v>190.17</v>
      </c>
    </row>
    <row r="80" spans="1:30">
      <c r="A80" s="1" t="s">
        <v>223</v>
      </c>
      <c r="B80" t="s">
        <v>224</v>
      </c>
      <c r="C80" s="2">
        <v>51</v>
      </c>
      <c r="D80">
        <v>0</v>
      </c>
      <c r="E80">
        <v>6.09</v>
      </c>
      <c r="F80">
        <v>1</v>
      </c>
      <c r="G80" s="5">
        <v>169</v>
      </c>
      <c r="H80" s="6">
        <v>75</v>
      </c>
      <c r="I80" s="3">
        <f t="shared" si="2"/>
        <v>26.2595847484332</v>
      </c>
      <c r="J80" s="5">
        <v>1</v>
      </c>
      <c r="K80" s="5">
        <v>1</v>
      </c>
      <c r="L80" s="5">
        <v>1</v>
      </c>
      <c r="M80" s="5">
        <v>1</v>
      </c>
      <c r="N80">
        <v>0</v>
      </c>
      <c r="O80" s="5">
        <v>5</v>
      </c>
      <c r="P80" s="5">
        <v>2</v>
      </c>
      <c r="Q80" s="5">
        <v>1</v>
      </c>
      <c r="R80" s="5">
        <v>1</v>
      </c>
      <c r="S80" s="5">
        <v>18</v>
      </c>
      <c r="T80">
        <v>3</v>
      </c>
      <c r="U80">
        <v>4</v>
      </c>
      <c r="V80">
        <v>0</v>
      </c>
      <c r="W80">
        <v>1</v>
      </c>
      <c r="X80" t="s">
        <v>33</v>
      </c>
      <c r="Y80">
        <v>2</v>
      </c>
      <c r="Z80" t="s">
        <v>37</v>
      </c>
      <c r="AA80">
        <v>14.66</v>
      </c>
      <c r="AB80">
        <v>11.56</v>
      </c>
      <c r="AC80">
        <v>111.67</v>
      </c>
      <c r="AD80" s="4" t="s">
        <v>225</v>
      </c>
    </row>
    <row r="81" spans="1:31">
      <c r="A81" s="1" t="s">
        <v>226</v>
      </c>
      <c r="B81" t="s">
        <v>227</v>
      </c>
      <c r="C81" s="2">
        <v>55</v>
      </c>
      <c r="D81">
        <v>0</v>
      </c>
      <c r="E81">
        <v>1.91</v>
      </c>
      <c r="F81">
        <v>1</v>
      </c>
      <c r="G81" s="5">
        <v>165</v>
      </c>
      <c r="H81" s="6">
        <v>64</v>
      </c>
      <c r="I81" s="3">
        <f t="shared" si="2"/>
        <v>23.5078053259871</v>
      </c>
      <c r="J81" s="5">
        <v>0</v>
      </c>
      <c r="K81" s="5">
        <v>1</v>
      </c>
      <c r="L81" s="5">
        <v>0</v>
      </c>
      <c r="M81" s="5">
        <v>0</v>
      </c>
      <c r="N81">
        <v>0</v>
      </c>
      <c r="O81" s="5">
        <v>5</v>
      </c>
      <c r="P81" s="5">
        <v>1</v>
      </c>
      <c r="Q81" s="5">
        <v>1</v>
      </c>
      <c r="R81" s="5">
        <v>1</v>
      </c>
      <c r="S81" s="5">
        <v>11</v>
      </c>
      <c r="T81">
        <v>5</v>
      </c>
      <c r="U81">
        <v>4</v>
      </c>
      <c r="V81">
        <v>1</v>
      </c>
      <c r="W81">
        <v>1</v>
      </c>
      <c r="X81" t="s">
        <v>48</v>
      </c>
      <c r="Y81">
        <v>3</v>
      </c>
      <c r="Z81" t="s">
        <v>37</v>
      </c>
      <c r="AA81">
        <v>15.53</v>
      </c>
      <c r="AB81">
        <v>7.16</v>
      </c>
      <c r="AC81">
        <v>58.14</v>
      </c>
    </row>
    <row r="82" spans="1:31">
      <c r="A82" s="1" t="s">
        <v>228</v>
      </c>
      <c r="B82" t="s">
        <v>229</v>
      </c>
      <c r="C82" s="2">
        <v>55</v>
      </c>
      <c r="D82">
        <v>0</v>
      </c>
      <c r="E82">
        <v>4.8</v>
      </c>
      <c r="F82">
        <v>1</v>
      </c>
      <c r="G82" s="5">
        <v>185</v>
      </c>
      <c r="H82" s="6">
        <v>83</v>
      </c>
      <c r="I82" s="3">
        <f t="shared" si="2"/>
        <v>24.2512783053324</v>
      </c>
      <c r="J82" s="5">
        <v>1</v>
      </c>
      <c r="K82" s="5">
        <v>1</v>
      </c>
      <c r="L82" s="5">
        <v>0</v>
      </c>
      <c r="M82" s="5">
        <v>0</v>
      </c>
      <c r="N82">
        <v>0</v>
      </c>
      <c r="O82" s="5">
        <v>2</v>
      </c>
      <c r="P82" s="5">
        <v>5</v>
      </c>
      <c r="Q82" s="5">
        <v>1</v>
      </c>
      <c r="R82" s="5">
        <v>1</v>
      </c>
      <c r="S82" s="5">
        <v>13</v>
      </c>
      <c r="T82">
        <v>5</v>
      </c>
      <c r="U82">
        <v>4</v>
      </c>
      <c r="V82">
        <v>1</v>
      </c>
      <c r="W82">
        <v>0</v>
      </c>
      <c r="X82" t="s">
        <v>48</v>
      </c>
      <c r="Y82">
        <v>2</v>
      </c>
      <c r="Z82" t="s">
        <v>37</v>
      </c>
      <c r="AA82">
        <v>14.86</v>
      </c>
      <c r="AB82">
        <v>12.11</v>
      </c>
      <c r="AC82">
        <v>134.38</v>
      </c>
      <c r="AD82" s="4" t="s">
        <v>230</v>
      </c>
    </row>
    <row r="83" spans="1:31">
      <c r="A83" s="1" t="s">
        <v>231</v>
      </c>
      <c r="B83" t="s">
        <v>232</v>
      </c>
      <c r="C83" s="2">
        <v>80</v>
      </c>
      <c r="D83">
        <v>1</v>
      </c>
      <c r="E83">
        <v>5.15</v>
      </c>
      <c r="F83">
        <v>1</v>
      </c>
      <c r="G83" s="5">
        <v>152</v>
      </c>
      <c r="H83" s="6">
        <v>55</v>
      </c>
      <c r="I83" s="3">
        <f t="shared" si="2"/>
        <v>23.8054016620499</v>
      </c>
      <c r="J83" s="5">
        <v>0</v>
      </c>
      <c r="K83" s="5">
        <v>0</v>
      </c>
      <c r="L83" s="5">
        <v>1</v>
      </c>
      <c r="M83" s="5">
        <v>0</v>
      </c>
      <c r="N83">
        <v>1</v>
      </c>
      <c r="O83" s="5">
        <v>3</v>
      </c>
      <c r="P83" s="5">
        <v>0</v>
      </c>
      <c r="Q83" s="5">
        <v>1</v>
      </c>
      <c r="R83" s="5">
        <v>1</v>
      </c>
      <c r="S83" s="5">
        <v>15</v>
      </c>
      <c r="T83">
        <v>6</v>
      </c>
      <c r="U83">
        <v>4</v>
      </c>
      <c r="V83">
        <v>1</v>
      </c>
      <c r="W83">
        <v>1</v>
      </c>
      <c r="X83" t="s">
        <v>51</v>
      </c>
      <c r="Y83">
        <v>1</v>
      </c>
      <c r="Z83" t="s">
        <v>37</v>
      </c>
      <c r="AA83">
        <v>16.65</v>
      </c>
      <c r="AB83">
        <v>5.21</v>
      </c>
      <c r="AC83">
        <v>23.1</v>
      </c>
      <c r="AD83" s="4" t="s">
        <v>233</v>
      </c>
    </row>
    <row r="84" spans="1:31">
      <c r="A84" s="1" t="s">
        <v>234</v>
      </c>
      <c r="B84" t="s">
        <v>235</v>
      </c>
      <c r="C84" s="2">
        <v>47</v>
      </c>
      <c r="D84">
        <v>0</v>
      </c>
      <c r="E84">
        <v>1.08</v>
      </c>
      <c r="F84">
        <v>1</v>
      </c>
      <c r="G84" s="5">
        <v>166</v>
      </c>
      <c r="H84" s="6">
        <v>65</v>
      </c>
      <c r="I84" s="3">
        <f t="shared" si="2"/>
        <v>23.5883292204964</v>
      </c>
      <c r="J84" s="5">
        <v>0</v>
      </c>
      <c r="K84" s="5">
        <v>0</v>
      </c>
      <c r="L84" s="5">
        <v>0</v>
      </c>
      <c r="M84" s="5">
        <v>0</v>
      </c>
      <c r="N84">
        <v>1</v>
      </c>
      <c r="O84" s="5">
        <v>3</v>
      </c>
      <c r="P84" s="5">
        <v>5</v>
      </c>
      <c r="Q84" s="5">
        <v>1</v>
      </c>
      <c r="R84" s="5">
        <v>1</v>
      </c>
      <c r="S84" s="5">
        <v>10</v>
      </c>
      <c r="T84">
        <v>5</v>
      </c>
      <c r="U84">
        <v>4</v>
      </c>
      <c r="V84">
        <v>0</v>
      </c>
      <c r="W84">
        <v>1</v>
      </c>
      <c r="X84" t="s">
        <v>34</v>
      </c>
      <c r="Y84">
        <v>3</v>
      </c>
      <c r="Z84" t="s">
        <v>37</v>
      </c>
      <c r="AA84">
        <v>21.58</v>
      </c>
      <c r="AB84">
        <v>9.04</v>
      </c>
      <c r="AC84">
        <v>145.43</v>
      </c>
    </row>
    <row r="85" spans="1:31">
      <c r="A85" s="1" t="s">
        <v>236</v>
      </c>
      <c r="B85" t="s">
        <v>237</v>
      </c>
      <c r="C85" s="2">
        <v>64</v>
      </c>
      <c r="D85">
        <v>0</v>
      </c>
      <c r="E85">
        <v>5.4</v>
      </c>
      <c r="F85">
        <v>1</v>
      </c>
      <c r="G85" s="5">
        <v>180</v>
      </c>
      <c r="H85" s="6">
        <v>75</v>
      </c>
      <c r="I85" s="3">
        <f t="shared" si="2"/>
        <v>23.1481481481481</v>
      </c>
      <c r="J85" s="5">
        <v>1</v>
      </c>
      <c r="K85" s="5">
        <v>1</v>
      </c>
      <c r="L85" s="5">
        <v>0</v>
      </c>
      <c r="M85" s="5">
        <v>1</v>
      </c>
      <c r="N85">
        <v>0</v>
      </c>
      <c r="O85" s="5">
        <v>3</v>
      </c>
      <c r="P85" s="5">
        <v>3</v>
      </c>
      <c r="Q85" s="5">
        <v>1</v>
      </c>
      <c r="R85" s="5">
        <v>1</v>
      </c>
      <c r="S85" s="5">
        <v>16</v>
      </c>
      <c r="T85">
        <v>4</v>
      </c>
      <c r="U85">
        <v>4</v>
      </c>
      <c r="V85">
        <v>0</v>
      </c>
      <c r="W85">
        <v>0</v>
      </c>
      <c r="X85" t="s">
        <v>33</v>
      </c>
      <c r="Y85">
        <v>2</v>
      </c>
      <c r="Z85" t="s">
        <v>34</v>
      </c>
      <c r="AA85">
        <v>15.25</v>
      </c>
      <c r="AB85">
        <v>9.51</v>
      </c>
      <c r="AC85">
        <v>66.41</v>
      </c>
    </row>
    <row r="86" spans="1:31">
      <c r="A86" s="1" t="s">
        <v>238</v>
      </c>
      <c r="B86" t="s">
        <v>239</v>
      </c>
      <c r="C86" s="2">
        <v>72</v>
      </c>
      <c r="D86">
        <v>0</v>
      </c>
      <c r="E86">
        <v>6.11</v>
      </c>
      <c r="F86">
        <v>1</v>
      </c>
      <c r="G86" s="5">
        <v>174</v>
      </c>
      <c r="H86" s="6">
        <v>75</v>
      </c>
      <c r="I86" s="3">
        <f t="shared" si="2"/>
        <v>24.7720967102656</v>
      </c>
      <c r="J86" s="5">
        <v>0</v>
      </c>
      <c r="K86" s="5">
        <v>0</v>
      </c>
      <c r="L86" s="5">
        <v>1</v>
      </c>
      <c r="M86" s="5">
        <v>0</v>
      </c>
      <c r="N86">
        <v>1</v>
      </c>
      <c r="O86" s="5">
        <v>3</v>
      </c>
      <c r="P86" s="5">
        <v>5</v>
      </c>
      <c r="Q86" s="5">
        <v>1</v>
      </c>
      <c r="R86" s="5">
        <v>1</v>
      </c>
      <c r="S86" s="5">
        <v>12</v>
      </c>
      <c r="T86">
        <v>4</v>
      </c>
      <c r="U86">
        <v>4</v>
      </c>
      <c r="V86">
        <v>0</v>
      </c>
      <c r="W86">
        <v>0</v>
      </c>
      <c r="X86" t="s">
        <v>34</v>
      </c>
      <c r="Y86">
        <v>2</v>
      </c>
      <c r="Z86" t="s">
        <v>37</v>
      </c>
      <c r="AA86">
        <v>13.5</v>
      </c>
      <c r="AB86">
        <v>9.15</v>
      </c>
      <c r="AC86">
        <v>83.02</v>
      </c>
    </row>
    <row r="87" spans="1:31">
      <c r="A87" s="1" t="s">
        <v>240</v>
      </c>
      <c r="B87" t="s">
        <v>241</v>
      </c>
      <c r="C87" s="2">
        <v>50</v>
      </c>
      <c r="D87">
        <v>0</v>
      </c>
      <c r="E87">
        <v>1.57</v>
      </c>
      <c r="F87">
        <v>1</v>
      </c>
      <c r="G87" s="5">
        <v>170</v>
      </c>
      <c r="H87" s="6">
        <v>70</v>
      </c>
      <c r="I87" s="3">
        <f t="shared" si="2"/>
        <v>24.2214532871972</v>
      </c>
      <c r="J87" s="5">
        <v>1</v>
      </c>
      <c r="K87" s="5">
        <v>0</v>
      </c>
      <c r="L87" s="5">
        <v>0</v>
      </c>
      <c r="M87" s="5">
        <v>0</v>
      </c>
      <c r="N87">
        <v>1</v>
      </c>
      <c r="O87" s="5">
        <v>3</v>
      </c>
      <c r="P87" s="5">
        <v>2</v>
      </c>
      <c r="Q87" s="5">
        <v>1</v>
      </c>
      <c r="R87" s="5">
        <v>1</v>
      </c>
      <c r="S87" s="5">
        <v>11</v>
      </c>
      <c r="T87">
        <v>6</v>
      </c>
      <c r="U87">
        <v>4</v>
      </c>
      <c r="V87">
        <v>0</v>
      </c>
      <c r="W87">
        <v>0</v>
      </c>
      <c r="X87" t="s">
        <v>48</v>
      </c>
      <c r="Y87">
        <v>2</v>
      </c>
      <c r="Z87" t="s">
        <v>37</v>
      </c>
      <c r="AA87">
        <v>17.22</v>
      </c>
      <c r="AB87">
        <v>9.51</v>
      </c>
      <c r="AC87">
        <v>102.06</v>
      </c>
    </row>
    <row r="88" spans="1:31">
      <c r="A88" s="1" t="s">
        <v>242</v>
      </c>
      <c r="B88" t="s">
        <v>243</v>
      </c>
      <c r="C88" s="2">
        <v>80</v>
      </c>
      <c r="D88">
        <v>0</v>
      </c>
      <c r="E88">
        <v>7.7</v>
      </c>
      <c r="F88">
        <v>1</v>
      </c>
      <c r="G88" s="5">
        <v>168</v>
      </c>
      <c r="H88" s="6">
        <v>75</v>
      </c>
      <c r="I88" s="3">
        <f t="shared" si="2"/>
        <v>26.5731292517007</v>
      </c>
      <c r="J88" s="5">
        <v>0</v>
      </c>
      <c r="K88" s="5">
        <v>0</v>
      </c>
      <c r="L88" s="5">
        <v>1</v>
      </c>
      <c r="M88" s="5">
        <v>0</v>
      </c>
      <c r="N88">
        <v>1</v>
      </c>
      <c r="O88" s="5">
        <v>3</v>
      </c>
      <c r="P88" s="5">
        <v>3</v>
      </c>
      <c r="Q88" s="5">
        <v>1</v>
      </c>
      <c r="R88" s="5">
        <v>1</v>
      </c>
      <c r="S88" s="5">
        <v>18</v>
      </c>
      <c r="T88">
        <v>4</v>
      </c>
      <c r="U88">
        <v>4</v>
      </c>
      <c r="V88">
        <v>1</v>
      </c>
      <c r="W88">
        <v>0</v>
      </c>
      <c r="X88" t="s">
        <v>51</v>
      </c>
      <c r="Y88">
        <v>2</v>
      </c>
      <c r="Z88" t="s">
        <v>34</v>
      </c>
      <c r="AA88">
        <v>13.62</v>
      </c>
      <c r="AB88">
        <v>5.9</v>
      </c>
      <c r="AC88">
        <v>29.95</v>
      </c>
      <c r="AD88" s="4" t="s">
        <v>244</v>
      </c>
    </row>
    <row r="89" spans="1:31">
      <c r="A89" s="1" t="s">
        <v>245</v>
      </c>
      <c r="B89" t="s">
        <v>246</v>
      </c>
      <c r="C89" s="2">
        <v>70</v>
      </c>
      <c r="D89">
        <v>0</v>
      </c>
      <c r="E89">
        <v>6.94</v>
      </c>
      <c r="F89">
        <v>1</v>
      </c>
      <c r="G89" s="5">
        <v>159</v>
      </c>
      <c r="H89" s="6">
        <v>63</v>
      </c>
      <c r="I89" s="3">
        <f t="shared" si="2"/>
        <v>24.9199003203987</v>
      </c>
      <c r="J89" s="5">
        <v>1</v>
      </c>
      <c r="K89" s="5">
        <v>1</v>
      </c>
      <c r="L89" s="5">
        <v>1</v>
      </c>
      <c r="M89" s="5">
        <v>0</v>
      </c>
      <c r="N89">
        <v>1</v>
      </c>
      <c r="O89" s="5">
        <v>5</v>
      </c>
      <c r="P89" s="5">
        <v>3</v>
      </c>
      <c r="Q89" s="5">
        <v>1</v>
      </c>
      <c r="R89" s="5">
        <v>1</v>
      </c>
      <c r="S89" s="5">
        <v>16</v>
      </c>
      <c r="T89">
        <v>4</v>
      </c>
      <c r="U89">
        <v>5</v>
      </c>
      <c r="V89">
        <v>1</v>
      </c>
      <c r="W89">
        <v>1</v>
      </c>
      <c r="X89" t="s">
        <v>34</v>
      </c>
      <c r="Y89">
        <v>2</v>
      </c>
      <c r="Z89" t="s">
        <v>37</v>
      </c>
      <c r="AA89">
        <v>17.29</v>
      </c>
      <c r="AB89">
        <v>7.07</v>
      </c>
      <c r="AC89">
        <v>67.44</v>
      </c>
    </row>
    <row r="90" spans="1:31">
      <c r="A90" s="1" t="s">
        <v>247</v>
      </c>
      <c r="B90" t="s">
        <v>248</v>
      </c>
      <c r="C90" s="2">
        <v>24</v>
      </c>
      <c r="D90">
        <v>1</v>
      </c>
      <c r="E90">
        <v>3.79</v>
      </c>
      <c r="F90">
        <v>1</v>
      </c>
      <c r="G90" s="5">
        <v>162</v>
      </c>
      <c r="H90" s="6">
        <v>57</v>
      </c>
      <c r="I90" s="3">
        <f t="shared" si="2"/>
        <v>21.7192501143118</v>
      </c>
      <c r="J90" s="5">
        <v>0</v>
      </c>
      <c r="K90" s="5">
        <v>0</v>
      </c>
      <c r="L90" s="5">
        <v>0</v>
      </c>
      <c r="M90" s="5">
        <v>0</v>
      </c>
      <c r="N90">
        <v>1</v>
      </c>
      <c r="O90" s="5">
        <v>3</v>
      </c>
      <c r="P90" s="5">
        <v>4</v>
      </c>
      <c r="Q90" s="5">
        <v>1</v>
      </c>
      <c r="R90" s="5">
        <v>1</v>
      </c>
      <c r="S90" s="5">
        <v>14</v>
      </c>
      <c r="T90">
        <v>6</v>
      </c>
      <c r="U90">
        <v>5</v>
      </c>
      <c r="V90">
        <v>0</v>
      </c>
      <c r="W90">
        <v>1</v>
      </c>
      <c r="X90" t="s">
        <v>48</v>
      </c>
      <c r="Y90">
        <v>3</v>
      </c>
      <c r="Z90" t="s">
        <v>37</v>
      </c>
      <c r="AA90">
        <v>20.26</v>
      </c>
      <c r="AB90">
        <v>8.12</v>
      </c>
      <c r="AC90">
        <v>69.02</v>
      </c>
    </row>
    <row r="91" spans="1:31">
      <c r="A91" s="1" t="s">
        <v>249</v>
      </c>
      <c r="B91" t="s">
        <v>250</v>
      </c>
      <c r="C91" s="2">
        <v>36</v>
      </c>
      <c r="D91">
        <v>1</v>
      </c>
      <c r="E91">
        <v>-15.53</v>
      </c>
      <c r="F91">
        <v>1</v>
      </c>
      <c r="G91">
        <v>158</v>
      </c>
      <c r="H91" s="2">
        <v>60</v>
      </c>
      <c r="I91" s="3">
        <f t="shared" si="2"/>
        <v>24.034609838167</v>
      </c>
      <c r="J91" s="5">
        <v>0</v>
      </c>
      <c r="K91" s="5">
        <v>0</v>
      </c>
      <c r="L91">
        <v>0</v>
      </c>
      <c r="M91">
        <v>0</v>
      </c>
      <c r="N91">
        <v>1</v>
      </c>
      <c r="O91">
        <v>3</v>
      </c>
      <c r="P91">
        <v>1</v>
      </c>
      <c r="Q91">
        <v>1</v>
      </c>
      <c r="R91">
        <v>1</v>
      </c>
      <c r="S91">
        <v>8</v>
      </c>
      <c r="T91">
        <v>7</v>
      </c>
      <c r="U91">
        <v>4</v>
      </c>
      <c r="V91">
        <v>0</v>
      </c>
      <c r="W91">
        <v>0</v>
      </c>
      <c r="X91" t="s">
        <v>34</v>
      </c>
      <c r="Y91">
        <v>3</v>
      </c>
      <c r="Z91" t="s">
        <v>34</v>
      </c>
      <c r="AA91">
        <v>16.37</v>
      </c>
      <c r="AB91">
        <v>7.59</v>
      </c>
      <c r="AC91">
        <v>76.1</v>
      </c>
      <c r="AD91" s="4" t="s">
        <v>251</v>
      </c>
      <c r="AE91" t="s">
        <v>252</v>
      </c>
    </row>
    <row r="92" spans="1:31">
      <c r="A92" s="1" t="s">
        <v>253</v>
      </c>
      <c r="B92" t="s">
        <v>254</v>
      </c>
      <c r="C92" s="2">
        <v>63</v>
      </c>
      <c r="D92">
        <v>0</v>
      </c>
      <c r="E92">
        <v>4.62</v>
      </c>
      <c r="F92">
        <v>1</v>
      </c>
      <c r="G92">
        <v>155</v>
      </c>
      <c r="H92" s="2">
        <v>55</v>
      </c>
      <c r="I92" s="3">
        <f t="shared" si="2"/>
        <v>22.8928199791883</v>
      </c>
      <c r="J92">
        <v>1</v>
      </c>
      <c r="K92">
        <v>1</v>
      </c>
      <c r="L92">
        <v>1</v>
      </c>
      <c r="M92">
        <v>0</v>
      </c>
      <c r="N92">
        <v>1</v>
      </c>
      <c r="O92">
        <v>5</v>
      </c>
      <c r="P92">
        <v>2</v>
      </c>
      <c r="Q92">
        <v>1</v>
      </c>
      <c r="R92">
        <v>1</v>
      </c>
      <c r="S92">
        <v>17</v>
      </c>
      <c r="T92">
        <v>4</v>
      </c>
      <c r="U92">
        <v>4</v>
      </c>
      <c r="V92">
        <v>1</v>
      </c>
      <c r="W92">
        <v>0</v>
      </c>
      <c r="X92" t="s">
        <v>48</v>
      </c>
      <c r="Y92">
        <v>2</v>
      </c>
      <c r="Z92" t="s">
        <v>37</v>
      </c>
      <c r="AA92">
        <v>11.9</v>
      </c>
      <c r="AB92">
        <v>7.5</v>
      </c>
      <c r="AC92">
        <v>115.45</v>
      </c>
    </row>
    <row r="93" spans="1:31">
      <c r="A93" s="1" t="s">
        <v>255</v>
      </c>
      <c r="B93" t="s">
        <v>256</v>
      </c>
      <c r="C93" s="2">
        <v>44</v>
      </c>
      <c r="D93">
        <v>1</v>
      </c>
      <c r="E93">
        <v>4.25</v>
      </c>
      <c r="F93">
        <v>1</v>
      </c>
      <c r="G93">
        <v>160</v>
      </c>
      <c r="H93" s="2">
        <v>65</v>
      </c>
      <c r="I93" s="3">
        <f t="shared" si="2"/>
        <v>25.390625</v>
      </c>
      <c r="J93" s="5">
        <v>0</v>
      </c>
      <c r="K93" s="5">
        <v>0</v>
      </c>
      <c r="L93">
        <v>0</v>
      </c>
      <c r="M93">
        <v>0</v>
      </c>
      <c r="N93">
        <v>1</v>
      </c>
      <c r="O93">
        <v>2</v>
      </c>
      <c r="P93">
        <v>2</v>
      </c>
      <c r="Q93">
        <v>1</v>
      </c>
      <c r="R93">
        <v>0</v>
      </c>
      <c r="S93">
        <v>18</v>
      </c>
      <c r="T93">
        <v>2</v>
      </c>
      <c r="U93">
        <v>4</v>
      </c>
      <c r="V93">
        <v>0</v>
      </c>
      <c r="W93">
        <v>1</v>
      </c>
      <c r="X93" t="s">
        <v>33</v>
      </c>
      <c r="Y93">
        <v>2</v>
      </c>
      <c r="Z93" t="s">
        <v>37</v>
      </c>
      <c r="AA93">
        <v>19</v>
      </c>
      <c r="AB93">
        <v>9.19</v>
      </c>
      <c r="AC93">
        <v>130.97</v>
      </c>
    </row>
    <row r="94" spans="1:31">
      <c r="A94" s="1" t="s">
        <v>257</v>
      </c>
      <c r="B94" t="s">
        <v>258</v>
      </c>
      <c r="C94" s="2">
        <v>61</v>
      </c>
      <c r="D94">
        <v>0</v>
      </c>
      <c r="E94">
        <v>7.88</v>
      </c>
      <c r="F94">
        <v>1</v>
      </c>
      <c r="G94">
        <v>159</v>
      </c>
      <c r="H94" s="2">
        <v>58</v>
      </c>
      <c r="I94" s="3">
        <f t="shared" si="2"/>
        <v>22.9421304537004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18</v>
      </c>
      <c r="T94">
        <v>3</v>
      </c>
      <c r="U94">
        <v>4</v>
      </c>
      <c r="V94">
        <v>1</v>
      </c>
      <c r="W94">
        <v>1</v>
      </c>
      <c r="X94" t="s">
        <v>51</v>
      </c>
      <c r="Y94">
        <v>3</v>
      </c>
      <c r="Z94" t="s">
        <v>37</v>
      </c>
      <c r="AA94">
        <v>16.82</v>
      </c>
      <c r="AB94">
        <v>7.71</v>
      </c>
      <c r="AC94">
        <v>83.01</v>
      </c>
      <c r="AD94" t="s">
        <v>259</v>
      </c>
    </row>
    <row r="95" spans="1:31">
      <c r="A95" s="1" t="s">
        <v>260</v>
      </c>
      <c r="B95" t="s">
        <v>261</v>
      </c>
      <c r="C95" s="2">
        <v>73</v>
      </c>
      <c r="D95">
        <v>0</v>
      </c>
      <c r="E95">
        <v>7.9</v>
      </c>
      <c r="F95">
        <v>1</v>
      </c>
      <c r="G95">
        <v>156</v>
      </c>
      <c r="H95" s="2">
        <v>62</v>
      </c>
      <c r="I95" s="3">
        <f t="shared" si="2"/>
        <v>25.4766600920447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13</v>
      </c>
      <c r="T95">
        <v>6</v>
      </c>
      <c r="U95">
        <v>5</v>
      </c>
      <c r="V95">
        <v>0</v>
      </c>
      <c r="W95">
        <v>0</v>
      </c>
      <c r="X95" t="s">
        <v>51</v>
      </c>
      <c r="Y95">
        <v>2</v>
      </c>
      <c r="Z95" t="s">
        <v>34</v>
      </c>
      <c r="AA95">
        <v>14.16</v>
      </c>
      <c r="AB95">
        <v>3.26</v>
      </c>
      <c r="AC95">
        <v>15.5</v>
      </c>
      <c r="AD95" s="4" t="s">
        <v>262</v>
      </c>
    </row>
    <row r="96" spans="1:31">
      <c r="A96" s="1" t="s">
        <v>263</v>
      </c>
      <c r="B96" t="s">
        <v>264</v>
      </c>
      <c r="C96" s="2">
        <v>56</v>
      </c>
      <c r="D96">
        <v>0</v>
      </c>
      <c r="E96">
        <v>2.6</v>
      </c>
      <c r="F96">
        <v>1</v>
      </c>
      <c r="G96">
        <v>162</v>
      </c>
      <c r="H96" s="2">
        <v>59</v>
      </c>
      <c r="I96" s="3">
        <f t="shared" si="2"/>
        <v>22.4813290656912</v>
      </c>
      <c r="J96">
        <v>0</v>
      </c>
      <c r="K96">
        <v>0</v>
      </c>
      <c r="L96">
        <v>1</v>
      </c>
      <c r="M96">
        <v>0</v>
      </c>
      <c r="N96">
        <v>1</v>
      </c>
      <c r="O96">
        <v>3</v>
      </c>
      <c r="P96">
        <v>2</v>
      </c>
      <c r="Q96">
        <v>1</v>
      </c>
      <c r="R96">
        <v>1</v>
      </c>
      <c r="S96">
        <v>17</v>
      </c>
      <c r="T96">
        <v>6</v>
      </c>
      <c r="U96">
        <v>4</v>
      </c>
      <c r="V96">
        <v>0</v>
      </c>
      <c r="W96">
        <v>1</v>
      </c>
      <c r="X96" t="s">
        <v>48</v>
      </c>
      <c r="Y96">
        <v>3</v>
      </c>
      <c r="Z96" t="s">
        <v>37</v>
      </c>
      <c r="AA96">
        <v>18.58</v>
      </c>
      <c r="AB96">
        <v>5.44</v>
      </c>
      <c r="AC96">
        <v>94.18</v>
      </c>
    </row>
    <row r="97" spans="1:31">
      <c r="A97" s="1" t="s">
        <v>265</v>
      </c>
      <c r="B97" t="s">
        <v>266</v>
      </c>
      <c r="C97" s="2">
        <v>57</v>
      </c>
      <c r="D97">
        <v>1</v>
      </c>
      <c r="E97">
        <v>2.88</v>
      </c>
      <c r="F97">
        <v>1</v>
      </c>
      <c r="G97">
        <v>158</v>
      </c>
      <c r="H97" s="2">
        <v>63</v>
      </c>
      <c r="I97" s="3">
        <f t="shared" si="2"/>
        <v>25.2363403300753</v>
      </c>
      <c r="J97" s="5">
        <v>0</v>
      </c>
      <c r="K97" s="5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0</v>
      </c>
      <c r="S97">
        <v>18</v>
      </c>
      <c r="T97">
        <v>5</v>
      </c>
      <c r="U97">
        <v>4</v>
      </c>
      <c r="V97">
        <v>0</v>
      </c>
      <c r="W97">
        <v>0</v>
      </c>
      <c r="X97" t="s">
        <v>51</v>
      </c>
      <c r="Y97">
        <v>2</v>
      </c>
      <c r="Z97" t="s">
        <v>37</v>
      </c>
      <c r="AA97">
        <v>15.83</v>
      </c>
      <c r="AB97">
        <v>8.07</v>
      </c>
      <c r="AC97">
        <v>66.79</v>
      </c>
    </row>
    <row r="98" spans="1:31">
      <c r="A98" s="1" t="s">
        <v>267</v>
      </c>
      <c r="B98" t="s">
        <v>268</v>
      </c>
      <c r="C98" s="2">
        <v>77</v>
      </c>
      <c r="D98">
        <v>1</v>
      </c>
      <c r="E98">
        <v>4.06</v>
      </c>
      <c r="F98">
        <v>1</v>
      </c>
      <c r="G98">
        <v>154</v>
      </c>
      <c r="H98" s="2">
        <v>56</v>
      </c>
      <c r="I98" s="3">
        <f t="shared" si="2"/>
        <v>23.6127508854782</v>
      </c>
      <c r="J98" s="5">
        <v>0</v>
      </c>
      <c r="K98" s="5">
        <v>0</v>
      </c>
      <c r="L98">
        <v>1</v>
      </c>
      <c r="M98">
        <v>0</v>
      </c>
      <c r="N98">
        <v>0</v>
      </c>
      <c r="O98">
        <v>3</v>
      </c>
      <c r="P98">
        <v>3</v>
      </c>
      <c r="Q98">
        <v>1</v>
      </c>
      <c r="R98">
        <v>1</v>
      </c>
      <c r="S98">
        <v>13</v>
      </c>
      <c r="T98">
        <v>7</v>
      </c>
      <c r="U98">
        <v>5</v>
      </c>
      <c r="V98">
        <v>1</v>
      </c>
      <c r="W98">
        <v>0</v>
      </c>
      <c r="X98" t="s">
        <v>51</v>
      </c>
      <c r="Y98">
        <v>3</v>
      </c>
      <c r="Z98" t="s">
        <v>37</v>
      </c>
      <c r="AA98">
        <v>12.91</v>
      </c>
      <c r="AB98">
        <v>1.13</v>
      </c>
      <c r="AC98">
        <v>4.84</v>
      </c>
      <c r="AD98" s="7" t="s">
        <v>269</v>
      </c>
    </row>
    <row r="99" spans="1:31">
      <c r="A99" s="1" t="s">
        <v>270</v>
      </c>
      <c r="B99" t="s">
        <v>271</v>
      </c>
      <c r="C99" s="2">
        <v>54</v>
      </c>
      <c r="D99">
        <v>1</v>
      </c>
      <c r="E99">
        <v>0.49</v>
      </c>
      <c r="F99">
        <v>1</v>
      </c>
      <c r="G99">
        <v>161</v>
      </c>
      <c r="H99" s="2">
        <v>67</v>
      </c>
      <c r="I99" s="3">
        <f t="shared" si="2"/>
        <v>25.8477682188187</v>
      </c>
      <c r="J99" s="5">
        <v>0</v>
      </c>
      <c r="K99" s="5">
        <v>0</v>
      </c>
      <c r="L99">
        <v>0</v>
      </c>
      <c r="M99">
        <v>0</v>
      </c>
      <c r="N99">
        <v>1</v>
      </c>
      <c r="O99">
        <v>3</v>
      </c>
      <c r="P99">
        <v>3</v>
      </c>
      <c r="Q99">
        <v>1</v>
      </c>
      <c r="R99">
        <v>1</v>
      </c>
      <c r="S99">
        <v>11</v>
      </c>
      <c r="T99">
        <v>6</v>
      </c>
      <c r="U99">
        <v>5</v>
      </c>
      <c r="V99">
        <v>1</v>
      </c>
      <c r="W99">
        <v>0</v>
      </c>
      <c r="X99" t="s">
        <v>48</v>
      </c>
      <c r="Y99">
        <v>2</v>
      </c>
      <c r="Z99" t="s">
        <v>37</v>
      </c>
      <c r="AA99">
        <v>17.11</v>
      </c>
      <c r="AB99">
        <v>8.87</v>
      </c>
      <c r="AC99">
        <v>81</v>
      </c>
      <c r="AE99" t="s">
        <v>272</v>
      </c>
    </row>
    <row r="100" spans="1:31">
      <c r="A100" s="1" t="s">
        <v>273</v>
      </c>
      <c r="B100" t="s">
        <v>274</v>
      </c>
      <c r="C100" s="2">
        <v>55</v>
      </c>
      <c r="D100">
        <v>0</v>
      </c>
      <c r="E100">
        <v>4.87</v>
      </c>
      <c r="F100">
        <v>0</v>
      </c>
      <c r="G100">
        <v>157</v>
      </c>
      <c r="H100" s="2">
        <v>61</v>
      </c>
      <c r="I100" s="3">
        <f t="shared" si="2"/>
        <v>24.7474542577792</v>
      </c>
      <c r="J100">
        <v>0</v>
      </c>
      <c r="K100">
        <v>0</v>
      </c>
      <c r="L100">
        <v>0</v>
      </c>
      <c r="M100">
        <v>0</v>
      </c>
      <c r="N100">
        <v>1</v>
      </c>
      <c r="O100" s="5">
        <v>5</v>
      </c>
      <c r="P100" s="5">
        <v>5</v>
      </c>
      <c r="Q100" s="5">
        <v>1</v>
      </c>
      <c r="R100">
        <v>1</v>
      </c>
      <c r="S100">
        <v>16</v>
      </c>
      <c r="T100">
        <v>4</v>
      </c>
      <c r="U100">
        <v>4</v>
      </c>
      <c r="V100">
        <v>1</v>
      </c>
      <c r="W100">
        <v>0</v>
      </c>
      <c r="X100" t="s">
        <v>51</v>
      </c>
      <c r="Y100">
        <v>2</v>
      </c>
      <c r="Z100" t="s">
        <v>37</v>
      </c>
      <c r="AA100">
        <v>15.99</v>
      </c>
      <c r="AB100">
        <v>8.46</v>
      </c>
      <c r="AC100">
        <v>116.62</v>
      </c>
    </row>
    <row r="101" spans="1:31">
      <c r="A101" s="1" t="s">
        <v>275</v>
      </c>
      <c r="B101" t="s">
        <v>276</v>
      </c>
      <c r="C101" s="2">
        <v>67</v>
      </c>
      <c r="D101">
        <v>0</v>
      </c>
      <c r="E101">
        <v>4.07</v>
      </c>
      <c r="F101">
        <v>0</v>
      </c>
      <c r="G101">
        <v>153</v>
      </c>
      <c r="H101" s="2">
        <v>54</v>
      </c>
      <c r="I101" s="3">
        <f t="shared" si="2"/>
        <v>23.0680507497116</v>
      </c>
      <c r="J101">
        <v>1</v>
      </c>
      <c r="K101">
        <v>1</v>
      </c>
      <c r="L101">
        <v>0</v>
      </c>
      <c r="M101">
        <v>0</v>
      </c>
      <c r="N101">
        <v>1</v>
      </c>
      <c r="O101" s="5">
        <v>5</v>
      </c>
      <c r="P101" s="5">
        <v>5</v>
      </c>
      <c r="Q101" s="5">
        <v>1</v>
      </c>
      <c r="R101">
        <v>1</v>
      </c>
      <c r="S101">
        <v>21</v>
      </c>
      <c r="T101">
        <v>3</v>
      </c>
      <c r="U101">
        <v>4</v>
      </c>
      <c r="V101">
        <v>0</v>
      </c>
      <c r="W101">
        <v>1</v>
      </c>
      <c r="X101" t="s">
        <v>34</v>
      </c>
      <c r="Y101">
        <v>3</v>
      </c>
      <c r="Z101" t="s">
        <v>37</v>
      </c>
      <c r="AA101">
        <v>15.92</v>
      </c>
      <c r="AB101">
        <v>5.35</v>
      </c>
      <c r="AC101">
        <v>75.35</v>
      </c>
    </row>
    <row r="102" spans="1:31">
      <c r="A102" s="1" t="s">
        <v>277</v>
      </c>
      <c r="B102" t="s">
        <v>278</v>
      </c>
      <c r="C102" s="2">
        <v>40</v>
      </c>
      <c r="D102">
        <v>0</v>
      </c>
      <c r="E102">
        <v>3.3</v>
      </c>
      <c r="F102">
        <v>0</v>
      </c>
      <c r="G102">
        <v>160</v>
      </c>
      <c r="H102" s="2">
        <v>70</v>
      </c>
      <c r="I102" s="3">
        <f t="shared" si="2"/>
        <v>27.34375</v>
      </c>
      <c r="J102">
        <v>0</v>
      </c>
      <c r="K102">
        <v>1</v>
      </c>
      <c r="L102">
        <v>0</v>
      </c>
      <c r="M102">
        <v>0</v>
      </c>
      <c r="N102">
        <v>0</v>
      </c>
      <c r="O102" s="5">
        <v>5</v>
      </c>
      <c r="P102" s="5">
        <v>5</v>
      </c>
      <c r="Q102" s="5">
        <v>1</v>
      </c>
      <c r="R102">
        <v>1</v>
      </c>
      <c r="S102">
        <v>18</v>
      </c>
      <c r="T102">
        <v>6</v>
      </c>
      <c r="U102">
        <v>3</v>
      </c>
      <c r="V102">
        <v>0</v>
      </c>
      <c r="W102">
        <v>0</v>
      </c>
      <c r="X102" t="s">
        <v>48</v>
      </c>
      <c r="Y102">
        <v>2</v>
      </c>
      <c r="Z102" t="s">
        <v>37</v>
      </c>
      <c r="AA102">
        <v>14.14</v>
      </c>
      <c r="AB102">
        <v>9.01</v>
      </c>
      <c r="AC102">
        <v>71.14</v>
      </c>
    </row>
    <row r="103" spans="1:31">
      <c r="A103" s="1" t="s">
        <v>279</v>
      </c>
      <c r="B103" t="s">
        <v>280</v>
      </c>
      <c r="C103" s="2">
        <v>46</v>
      </c>
      <c r="D103">
        <v>0</v>
      </c>
      <c r="E103">
        <v>6.29</v>
      </c>
      <c r="F103">
        <v>0</v>
      </c>
      <c r="G103">
        <v>163</v>
      </c>
      <c r="H103" s="2">
        <v>59.5</v>
      </c>
      <c r="I103" s="3">
        <f t="shared" si="2"/>
        <v>22.3945199292408</v>
      </c>
      <c r="J103">
        <v>1</v>
      </c>
      <c r="K103">
        <v>0</v>
      </c>
      <c r="L103">
        <v>1</v>
      </c>
      <c r="M103">
        <v>0</v>
      </c>
      <c r="N103">
        <v>0</v>
      </c>
      <c r="O103" s="5">
        <v>5</v>
      </c>
      <c r="P103" s="5">
        <v>5</v>
      </c>
      <c r="Q103" s="5">
        <v>1</v>
      </c>
      <c r="R103">
        <v>1</v>
      </c>
      <c r="S103">
        <v>17</v>
      </c>
      <c r="T103">
        <v>7</v>
      </c>
      <c r="U103">
        <v>3</v>
      </c>
      <c r="V103">
        <v>0</v>
      </c>
      <c r="W103">
        <v>0</v>
      </c>
      <c r="X103" t="s">
        <v>33</v>
      </c>
      <c r="Y103">
        <v>2</v>
      </c>
      <c r="Z103" t="s">
        <v>37</v>
      </c>
      <c r="AA103">
        <v>18.67</v>
      </c>
      <c r="AB103">
        <v>6.66</v>
      </c>
      <c r="AC103">
        <v>130.03</v>
      </c>
    </row>
    <row r="104" spans="1:31">
      <c r="A104" s="1" t="s">
        <v>281</v>
      </c>
      <c r="B104" t="s">
        <v>282</v>
      </c>
      <c r="C104" s="2">
        <v>65</v>
      </c>
      <c r="D104">
        <v>1</v>
      </c>
      <c r="E104">
        <v>2.71</v>
      </c>
      <c r="F104">
        <v>0</v>
      </c>
      <c r="G104">
        <v>159</v>
      </c>
      <c r="H104" s="2">
        <v>52</v>
      </c>
      <c r="I104" s="3">
        <f t="shared" si="2"/>
        <v>20.5688066136624</v>
      </c>
      <c r="J104" s="5">
        <v>0</v>
      </c>
      <c r="K104" s="5">
        <v>0</v>
      </c>
      <c r="L104">
        <v>1</v>
      </c>
      <c r="M104">
        <v>0</v>
      </c>
      <c r="N104">
        <v>0</v>
      </c>
      <c r="O104" s="5">
        <v>5</v>
      </c>
      <c r="P104" s="5">
        <v>5</v>
      </c>
      <c r="Q104" s="5">
        <v>1</v>
      </c>
      <c r="R104">
        <v>1</v>
      </c>
      <c r="S104">
        <v>19</v>
      </c>
      <c r="T104">
        <v>8</v>
      </c>
      <c r="U104">
        <v>4</v>
      </c>
      <c r="V104">
        <v>0</v>
      </c>
      <c r="W104">
        <v>1</v>
      </c>
      <c r="X104" t="s">
        <v>48</v>
      </c>
      <c r="Y104">
        <v>2</v>
      </c>
      <c r="Z104" t="s">
        <v>37</v>
      </c>
      <c r="AA104">
        <v>16.33</v>
      </c>
      <c r="AB104">
        <v>7.54</v>
      </c>
      <c r="AC104">
        <v>66.72</v>
      </c>
    </row>
    <row r="105" spans="1:31">
      <c r="A105" s="1" t="s">
        <v>283</v>
      </c>
      <c r="B105" t="s">
        <v>284</v>
      </c>
      <c r="C105" s="2">
        <v>39</v>
      </c>
      <c r="D105">
        <v>0</v>
      </c>
      <c r="E105">
        <v>4</v>
      </c>
      <c r="F105">
        <v>0</v>
      </c>
      <c r="G105">
        <v>155</v>
      </c>
      <c r="H105" s="2">
        <v>64</v>
      </c>
      <c r="I105" s="3">
        <f t="shared" si="2"/>
        <v>26.6389177939646</v>
      </c>
      <c r="J105">
        <v>1</v>
      </c>
      <c r="K105">
        <v>0</v>
      </c>
      <c r="L105">
        <v>1</v>
      </c>
      <c r="M105">
        <v>1</v>
      </c>
      <c r="N105">
        <v>0</v>
      </c>
      <c r="O105" s="5">
        <v>5</v>
      </c>
      <c r="P105" s="5">
        <v>5</v>
      </c>
      <c r="Q105" s="5">
        <v>1</v>
      </c>
      <c r="R105">
        <v>0</v>
      </c>
      <c r="S105">
        <v>20</v>
      </c>
      <c r="T105">
        <v>5</v>
      </c>
      <c r="U105">
        <v>4</v>
      </c>
      <c r="V105">
        <v>0</v>
      </c>
      <c r="W105">
        <v>0</v>
      </c>
      <c r="X105" t="s">
        <v>33</v>
      </c>
      <c r="Y105">
        <v>2</v>
      </c>
      <c r="Z105" t="s">
        <v>37</v>
      </c>
      <c r="AA105">
        <v>24.18</v>
      </c>
      <c r="AB105">
        <v>14.28</v>
      </c>
      <c r="AC105">
        <v>256.31</v>
      </c>
    </row>
    <row r="106" spans="1:31">
      <c r="A106" s="1" t="s">
        <v>285</v>
      </c>
      <c r="B106" t="s">
        <v>286</v>
      </c>
      <c r="C106" s="2">
        <v>48</v>
      </c>
      <c r="D106">
        <v>0</v>
      </c>
      <c r="E106">
        <v>10.63</v>
      </c>
      <c r="F106">
        <v>0</v>
      </c>
      <c r="G106">
        <v>158</v>
      </c>
      <c r="H106" s="2">
        <v>57</v>
      </c>
      <c r="I106" s="3">
        <f t="shared" si="2"/>
        <v>22.8328793462586</v>
      </c>
      <c r="J106">
        <v>0</v>
      </c>
      <c r="K106">
        <v>1</v>
      </c>
      <c r="L106">
        <v>1</v>
      </c>
      <c r="M106">
        <v>0</v>
      </c>
      <c r="N106">
        <v>1</v>
      </c>
      <c r="O106" s="5">
        <v>5</v>
      </c>
      <c r="P106" s="5">
        <v>5</v>
      </c>
      <c r="Q106" s="5">
        <v>1</v>
      </c>
      <c r="R106">
        <v>1</v>
      </c>
      <c r="S106">
        <v>18</v>
      </c>
      <c r="T106">
        <v>8</v>
      </c>
      <c r="U106">
        <v>5</v>
      </c>
      <c r="V106">
        <v>0</v>
      </c>
      <c r="W106">
        <v>1</v>
      </c>
      <c r="X106" t="s">
        <v>48</v>
      </c>
      <c r="Y106">
        <v>3</v>
      </c>
      <c r="Z106" t="s">
        <v>37</v>
      </c>
      <c r="AA106">
        <v>13.98</v>
      </c>
      <c r="AB106">
        <v>5.98</v>
      </c>
      <c r="AC106">
        <v>70.74</v>
      </c>
      <c r="AD106" t="s">
        <v>287</v>
      </c>
    </row>
    <row r="107" spans="1:31">
      <c r="A107" s="1" t="s">
        <v>288</v>
      </c>
      <c r="B107" t="s">
        <v>289</v>
      </c>
      <c r="C107" s="2">
        <v>54</v>
      </c>
      <c r="D107">
        <v>0</v>
      </c>
      <c r="E107">
        <v>8.27</v>
      </c>
      <c r="F107">
        <v>0</v>
      </c>
      <c r="G107">
        <v>165</v>
      </c>
      <c r="H107" s="2">
        <v>66</v>
      </c>
      <c r="I107" s="3">
        <f t="shared" si="2"/>
        <v>24.2424242424242</v>
      </c>
      <c r="J107">
        <v>0</v>
      </c>
      <c r="K107">
        <v>1</v>
      </c>
      <c r="L107">
        <v>0</v>
      </c>
      <c r="M107">
        <v>0</v>
      </c>
      <c r="N107">
        <v>0</v>
      </c>
      <c r="O107" s="5">
        <v>5</v>
      </c>
      <c r="P107" s="5">
        <v>5</v>
      </c>
      <c r="Q107" s="5">
        <v>1</v>
      </c>
      <c r="R107">
        <v>1</v>
      </c>
      <c r="S107">
        <v>22</v>
      </c>
      <c r="T107">
        <v>2</v>
      </c>
      <c r="U107">
        <v>4</v>
      </c>
      <c r="V107">
        <v>1</v>
      </c>
      <c r="W107">
        <v>0</v>
      </c>
      <c r="X107" t="s">
        <v>33</v>
      </c>
      <c r="Y107">
        <v>2</v>
      </c>
      <c r="Z107" t="s">
        <v>33</v>
      </c>
      <c r="AA107">
        <v>15.67</v>
      </c>
      <c r="AB107">
        <v>9.08</v>
      </c>
      <c r="AC107">
        <v>84.26</v>
      </c>
      <c r="AD107" t="s">
        <v>287</v>
      </c>
    </row>
    <row r="108" spans="1:31">
      <c r="A108" s="1" t="s">
        <v>290</v>
      </c>
      <c r="B108" t="s">
        <v>291</v>
      </c>
      <c r="C108" s="2">
        <v>62</v>
      </c>
      <c r="D108">
        <v>1</v>
      </c>
      <c r="E108">
        <v>4.64</v>
      </c>
      <c r="F108">
        <v>0</v>
      </c>
      <c r="G108">
        <v>160</v>
      </c>
      <c r="H108" s="2">
        <v>60</v>
      </c>
      <c r="I108" s="3">
        <f t="shared" si="2"/>
        <v>23.4375</v>
      </c>
      <c r="J108" s="5">
        <v>0</v>
      </c>
      <c r="K108" s="5">
        <v>0</v>
      </c>
      <c r="L108">
        <v>1</v>
      </c>
      <c r="M108">
        <v>0</v>
      </c>
      <c r="N108">
        <v>1</v>
      </c>
      <c r="O108" s="5">
        <v>5</v>
      </c>
      <c r="P108" s="5">
        <v>5</v>
      </c>
      <c r="Q108" s="5">
        <v>1</v>
      </c>
      <c r="R108">
        <v>1</v>
      </c>
      <c r="S108">
        <v>19</v>
      </c>
      <c r="T108">
        <v>5</v>
      </c>
      <c r="U108">
        <v>4</v>
      </c>
      <c r="V108">
        <v>0</v>
      </c>
      <c r="W108">
        <v>0</v>
      </c>
      <c r="X108" t="s">
        <v>34</v>
      </c>
      <c r="Y108">
        <v>2</v>
      </c>
      <c r="Z108" t="s">
        <v>34</v>
      </c>
      <c r="AA108">
        <v>17.42</v>
      </c>
      <c r="AB108">
        <v>11.43</v>
      </c>
      <c r="AC108">
        <v>68.44</v>
      </c>
    </row>
    <row r="109" spans="1:31">
      <c r="A109" s="1" t="s">
        <v>292</v>
      </c>
      <c r="B109" t="s">
        <v>293</v>
      </c>
      <c r="C109" s="2">
        <v>64</v>
      </c>
      <c r="D109">
        <v>1</v>
      </c>
      <c r="E109">
        <v>8.86</v>
      </c>
      <c r="F109">
        <v>0</v>
      </c>
      <c r="G109">
        <v>156</v>
      </c>
      <c r="H109" s="2">
        <v>55</v>
      </c>
      <c r="I109" s="3">
        <f t="shared" si="2"/>
        <v>22.6002629848784</v>
      </c>
      <c r="J109" s="5">
        <v>0</v>
      </c>
      <c r="K109" s="5">
        <v>0</v>
      </c>
      <c r="L109">
        <v>0</v>
      </c>
      <c r="M109">
        <v>0</v>
      </c>
      <c r="N109">
        <v>1</v>
      </c>
      <c r="O109" s="5">
        <v>5</v>
      </c>
      <c r="P109" s="5">
        <v>5</v>
      </c>
      <c r="Q109" s="5">
        <v>1</v>
      </c>
      <c r="R109">
        <v>0</v>
      </c>
      <c r="S109">
        <v>18</v>
      </c>
      <c r="T109">
        <v>7</v>
      </c>
      <c r="U109">
        <v>4</v>
      </c>
      <c r="V109">
        <v>0</v>
      </c>
      <c r="W109">
        <v>0</v>
      </c>
      <c r="X109" t="s">
        <v>48</v>
      </c>
      <c r="Y109">
        <v>1</v>
      </c>
      <c r="Z109" t="s">
        <v>37</v>
      </c>
      <c r="AA109">
        <v>17.08</v>
      </c>
      <c r="AB109">
        <v>3.48</v>
      </c>
      <c r="AC109">
        <v>44.46</v>
      </c>
      <c r="AD109" t="s">
        <v>294</v>
      </c>
    </row>
    <row r="110" spans="1:31">
      <c r="A110" s="1" t="s">
        <v>295</v>
      </c>
      <c r="B110" t="s">
        <v>296</v>
      </c>
      <c r="C110" s="2">
        <v>53</v>
      </c>
      <c r="D110">
        <v>1</v>
      </c>
      <c r="E110">
        <v>3.33</v>
      </c>
      <c r="F110">
        <v>0</v>
      </c>
      <c r="G110">
        <v>162</v>
      </c>
      <c r="H110" s="2">
        <v>68</v>
      </c>
      <c r="I110" s="3">
        <f t="shared" si="2"/>
        <v>25.9106843468983</v>
      </c>
      <c r="J110" s="5">
        <v>0</v>
      </c>
      <c r="K110" s="5">
        <v>0</v>
      </c>
      <c r="L110">
        <v>0</v>
      </c>
      <c r="M110">
        <v>0</v>
      </c>
      <c r="N110">
        <v>0</v>
      </c>
      <c r="O110" s="5">
        <v>5</v>
      </c>
      <c r="P110" s="5">
        <v>5</v>
      </c>
      <c r="Q110" s="5">
        <v>1</v>
      </c>
      <c r="R110">
        <v>1</v>
      </c>
      <c r="S110">
        <v>18</v>
      </c>
      <c r="T110">
        <v>3</v>
      </c>
      <c r="U110">
        <v>4</v>
      </c>
      <c r="V110">
        <v>0</v>
      </c>
      <c r="W110">
        <v>1</v>
      </c>
      <c r="X110" t="s">
        <v>33</v>
      </c>
      <c r="Y110">
        <v>2</v>
      </c>
      <c r="Z110" t="s">
        <v>34</v>
      </c>
      <c r="AA110">
        <v>20.88</v>
      </c>
      <c r="AB110">
        <v>10</v>
      </c>
      <c r="AC110">
        <v>180.16</v>
      </c>
      <c r="AD110" t="s">
        <v>287</v>
      </c>
      <c r="AE110" t="s">
        <v>297</v>
      </c>
    </row>
    <row r="111" spans="1:31">
      <c r="A111" s="1" t="s">
        <v>298</v>
      </c>
      <c r="B111" t="s">
        <v>299</v>
      </c>
      <c r="C111" s="2">
        <v>59</v>
      </c>
      <c r="D111">
        <v>1</v>
      </c>
      <c r="E111">
        <v>2.35</v>
      </c>
      <c r="F111">
        <v>0</v>
      </c>
      <c r="G111">
        <v>158</v>
      </c>
      <c r="H111" s="2">
        <v>53</v>
      </c>
      <c r="I111" s="3">
        <f t="shared" si="2"/>
        <v>21.2305720237141</v>
      </c>
      <c r="J111" s="5">
        <v>1</v>
      </c>
      <c r="K111" s="5">
        <v>1</v>
      </c>
      <c r="L111">
        <v>1</v>
      </c>
      <c r="M111">
        <v>0</v>
      </c>
      <c r="N111">
        <v>0</v>
      </c>
      <c r="O111" s="5">
        <v>5</v>
      </c>
      <c r="P111" s="5">
        <v>5</v>
      </c>
      <c r="Q111" s="5">
        <v>1</v>
      </c>
      <c r="R111" s="5">
        <v>1</v>
      </c>
      <c r="S111" s="5">
        <v>16</v>
      </c>
      <c r="T111">
        <v>3</v>
      </c>
      <c r="U111">
        <v>3</v>
      </c>
      <c r="V111">
        <v>0</v>
      </c>
      <c r="W111">
        <v>1</v>
      </c>
      <c r="X111" t="s">
        <v>33</v>
      </c>
      <c r="Y111">
        <v>1</v>
      </c>
      <c r="Z111" t="s">
        <v>37</v>
      </c>
      <c r="AA111">
        <v>17.92</v>
      </c>
      <c r="AB111">
        <v>12.11</v>
      </c>
      <c r="AC111">
        <v>121.62</v>
      </c>
      <c r="AD111" s="4" t="s">
        <v>300</v>
      </c>
    </row>
    <row r="112" spans="1:31">
      <c r="A112" s="1" t="s">
        <v>301</v>
      </c>
      <c r="B112" t="s">
        <v>302</v>
      </c>
      <c r="C112" s="2">
        <v>58</v>
      </c>
      <c r="D112">
        <v>1</v>
      </c>
      <c r="E112">
        <v>8.41</v>
      </c>
      <c r="F112">
        <v>0</v>
      </c>
      <c r="G112">
        <v>152</v>
      </c>
      <c r="H112" s="2">
        <v>61</v>
      </c>
      <c r="I112" s="3">
        <f t="shared" si="2"/>
        <v>26.4023545706371</v>
      </c>
      <c r="J112" s="5">
        <v>0</v>
      </c>
      <c r="K112" s="5">
        <v>0</v>
      </c>
      <c r="L112">
        <v>1</v>
      </c>
      <c r="M112">
        <v>0</v>
      </c>
      <c r="N112">
        <v>1</v>
      </c>
      <c r="O112" s="5">
        <v>5</v>
      </c>
      <c r="P112" s="5">
        <v>5</v>
      </c>
      <c r="Q112" s="5">
        <v>1</v>
      </c>
      <c r="R112" s="5">
        <v>1</v>
      </c>
      <c r="S112" s="5">
        <v>20</v>
      </c>
      <c r="T112">
        <v>4</v>
      </c>
      <c r="U112">
        <v>3</v>
      </c>
      <c r="V112">
        <v>0</v>
      </c>
      <c r="W112">
        <v>1</v>
      </c>
      <c r="X112" t="s">
        <v>33</v>
      </c>
      <c r="Y112">
        <v>2</v>
      </c>
      <c r="Z112" t="s">
        <v>37</v>
      </c>
      <c r="AA112">
        <v>18.77</v>
      </c>
      <c r="AB112">
        <v>10.27</v>
      </c>
      <c r="AC112">
        <v>161.17</v>
      </c>
    </row>
    <row r="113" spans="1:31">
      <c r="A113" s="1" t="s">
        <v>303</v>
      </c>
      <c r="B113" t="s">
        <v>304</v>
      </c>
      <c r="C113" s="2">
        <v>58</v>
      </c>
      <c r="D113">
        <v>0</v>
      </c>
      <c r="E113">
        <v>0</v>
      </c>
      <c r="F113">
        <v>0</v>
      </c>
      <c r="G113">
        <v>161</v>
      </c>
      <c r="H113" s="2">
        <v>59</v>
      </c>
      <c r="I113" s="3">
        <f t="shared" si="2"/>
        <v>22.7614675359747</v>
      </c>
      <c r="J113">
        <v>0</v>
      </c>
      <c r="K113">
        <v>1</v>
      </c>
      <c r="L113">
        <v>1</v>
      </c>
      <c r="M113">
        <v>0</v>
      </c>
      <c r="N113">
        <v>0</v>
      </c>
      <c r="O113" s="5">
        <v>5</v>
      </c>
      <c r="P113" s="5">
        <v>5</v>
      </c>
      <c r="Q113" s="5">
        <v>1</v>
      </c>
      <c r="R113" s="5">
        <v>1</v>
      </c>
      <c r="S113" s="5">
        <v>20</v>
      </c>
      <c r="T113">
        <v>4</v>
      </c>
      <c r="U113">
        <v>3</v>
      </c>
      <c r="V113">
        <v>0</v>
      </c>
      <c r="W113">
        <v>0</v>
      </c>
      <c r="X113" t="s">
        <v>48</v>
      </c>
      <c r="Y113">
        <v>2</v>
      </c>
      <c r="Z113" t="s">
        <v>37</v>
      </c>
      <c r="AA113">
        <v>15.39</v>
      </c>
      <c r="AB113">
        <v>7.84</v>
      </c>
      <c r="AC113">
        <v>73.02</v>
      </c>
    </row>
    <row r="114" spans="1:31">
      <c r="A114" s="1" t="s">
        <v>305</v>
      </c>
      <c r="B114" t="s">
        <v>306</v>
      </c>
      <c r="C114" s="2">
        <v>47</v>
      </c>
      <c r="D114">
        <v>0</v>
      </c>
      <c r="E114">
        <v>7.69</v>
      </c>
      <c r="F114">
        <v>0</v>
      </c>
      <c r="G114">
        <v>159</v>
      </c>
      <c r="H114" s="2">
        <v>62</v>
      </c>
      <c r="I114" s="3">
        <f t="shared" si="2"/>
        <v>24.5243463470591</v>
      </c>
      <c r="J114">
        <v>1</v>
      </c>
      <c r="K114">
        <v>0</v>
      </c>
      <c r="L114">
        <v>1</v>
      </c>
      <c r="M114">
        <v>0</v>
      </c>
      <c r="N114">
        <v>0</v>
      </c>
      <c r="O114" s="5">
        <v>5</v>
      </c>
      <c r="P114" s="5">
        <v>5</v>
      </c>
      <c r="Q114" s="5">
        <v>1</v>
      </c>
      <c r="R114" s="5">
        <v>0</v>
      </c>
      <c r="S114" s="5">
        <v>21</v>
      </c>
      <c r="T114">
        <v>3</v>
      </c>
      <c r="U114">
        <v>3</v>
      </c>
      <c r="V114">
        <v>0</v>
      </c>
      <c r="W114">
        <v>1</v>
      </c>
      <c r="X114" t="s">
        <v>33</v>
      </c>
      <c r="Y114">
        <v>2</v>
      </c>
      <c r="Z114" t="s">
        <v>34</v>
      </c>
      <c r="AA114">
        <v>17.31</v>
      </c>
      <c r="AB114">
        <v>9.34</v>
      </c>
      <c r="AC114">
        <v>140.09</v>
      </c>
    </row>
    <row r="115" spans="1:31">
      <c r="A115" s="1" t="s">
        <v>307</v>
      </c>
      <c r="B115" t="s">
        <v>308</v>
      </c>
      <c r="C115" s="2">
        <v>54</v>
      </c>
      <c r="D115">
        <v>1</v>
      </c>
      <c r="E115">
        <v>5.23</v>
      </c>
      <c r="F115">
        <v>0</v>
      </c>
      <c r="G115">
        <v>150</v>
      </c>
      <c r="H115" s="2">
        <v>65</v>
      </c>
      <c r="I115" s="3">
        <f t="shared" si="2"/>
        <v>28.8888888888889</v>
      </c>
      <c r="J115" s="5">
        <v>0</v>
      </c>
      <c r="K115" s="5">
        <v>0</v>
      </c>
      <c r="L115">
        <v>0</v>
      </c>
      <c r="M115">
        <v>1</v>
      </c>
      <c r="N115">
        <v>0</v>
      </c>
      <c r="O115" s="5">
        <v>5</v>
      </c>
      <c r="P115" s="5">
        <v>5</v>
      </c>
      <c r="Q115" s="5">
        <v>1</v>
      </c>
      <c r="R115" s="5">
        <v>0</v>
      </c>
      <c r="S115" s="5">
        <v>22</v>
      </c>
      <c r="T115">
        <v>4</v>
      </c>
      <c r="U115">
        <v>4</v>
      </c>
      <c r="V115">
        <v>0</v>
      </c>
      <c r="W115">
        <v>1</v>
      </c>
      <c r="X115" t="s">
        <v>34</v>
      </c>
      <c r="Y115">
        <v>3</v>
      </c>
      <c r="Z115" t="s">
        <v>37</v>
      </c>
      <c r="AA115">
        <v>19.78</v>
      </c>
      <c r="AB115">
        <v>8.61</v>
      </c>
      <c r="AC115">
        <v>105.01</v>
      </c>
    </row>
    <row r="116" spans="1:31">
      <c r="A116" s="1" t="s">
        <v>309</v>
      </c>
      <c r="B116" t="s">
        <v>310</v>
      </c>
      <c r="C116" s="2">
        <v>43</v>
      </c>
      <c r="D116">
        <v>0</v>
      </c>
      <c r="E116">
        <v>7.45</v>
      </c>
      <c r="F116">
        <v>0</v>
      </c>
      <c r="G116">
        <v>157</v>
      </c>
      <c r="H116" s="2">
        <v>57</v>
      </c>
      <c r="I116" s="3">
        <f t="shared" si="2"/>
        <v>23.1246703720232</v>
      </c>
      <c r="J116">
        <v>1</v>
      </c>
      <c r="K116">
        <v>0</v>
      </c>
      <c r="L116">
        <v>1</v>
      </c>
      <c r="M116">
        <v>0</v>
      </c>
      <c r="N116">
        <v>0</v>
      </c>
      <c r="O116" s="5">
        <v>5</v>
      </c>
      <c r="P116" s="5">
        <v>5</v>
      </c>
      <c r="Q116" s="5">
        <v>1</v>
      </c>
      <c r="R116" s="5">
        <v>0</v>
      </c>
      <c r="S116" s="5">
        <v>19</v>
      </c>
      <c r="T116">
        <v>5</v>
      </c>
      <c r="U116">
        <v>3</v>
      </c>
      <c r="V116">
        <v>0</v>
      </c>
      <c r="W116">
        <v>1</v>
      </c>
      <c r="X116" t="s">
        <v>34</v>
      </c>
      <c r="Y116">
        <v>2</v>
      </c>
      <c r="Z116" t="s">
        <v>37</v>
      </c>
      <c r="AA116">
        <v>17.23</v>
      </c>
      <c r="AB116">
        <v>11.06</v>
      </c>
      <c r="AC116">
        <v>131.87</v>
      </c>
      <c r="AD116" s="7" t="s">
        <v>311</v>
      </c>
    </row>
    <row r="117" spans="1:31">
      <c r="A117" s="1" t="s">
        <v>312</v>
      </c>
      <c r="B117" t="s">
        <v>313</v>
      </c>
      <c r="C117" s="2">
        <v>53</v>
      </c>
      <c r="D117">
        <v>1</v>
      </c>
      <c r="E117">
        <v>4.77</v>
      </c>
      <c r="F117">
        <v>0</v>
      </c>
      <c r="G117">
        <v>164</v>
      </c>
      <c r="H117" s="2">
        <v>63</v>
      </c>
      <c r="I117" s="3">
        <f t="shared" si="2"/>
        <v>23.4235574063058</v>
      </c>
      <c r="J117" s="5">
        <v>0</v>
      </c>
      <c r="K117" s="5">
        <v>0</v>
      </c>
      <c r="L117" s="5">
        <v>0</v>
      </c>
      <c r="M117" s="5">
        <v>0</v>
      </c>
      <c r="N117">
        <v>0</v>
      </c>
      <c r="O117" s="5">
        <v>5</v>
      </c>
      <c r="P117" s="5">
        <v>5</v>
      </c>
      <c r="Q117" s="5">
        <v>1</v>
      </c>
      <c r="R117" s="5">
        <v>1</v>
      </c>
      <c r="S117" s="5">
        <v>19</v>
      </c>
      <c r="T117">
        <v>6</v>
      </c>
      <c r="U117">
        <v>4</v>
      </c>
      <c r="V117">
        <v>0</v>
      </c>
      <c r="W117">
        <v>0</v>
      </c>
      <c r="X117" t="s">
        <v>34</v>
      </c>
      <c r="Y117">
        <v>2</v>
      </c>
      <c r="Z117" t="s">
        <v>37</v>
      </c>
      <c r="AA117">
        <v>12.63</v>
      </c>
      <c r="AB117">
        <v>7.1</v>
      </c>
      <c r="AC117">
        <v>101.55</v>
      </c>
    </row>
    <row r="118" spans="1:31">
      <c r="A118" s="1" t="s">
        <v>314</v>
      </c>
      <c r="B118" t="s">
        <v>315</v>
      </c>
      <c r="C118" s="2">
        <v>54</v>
      </c>
      <c r="D118">
        <v>1</v>
      </c>
      <c r="E118">
        <v>10.92</v>
      </c>
      <c r="F118">
        <v>0</v>
      </c>
      <c r="G118">
        <v>160</v>
      </c>
      <c r="H118" s="2">
        <v>60</v>
      </c>
      <c r="I118" s="3">
        <f t="shared" si="2"/>
        <v>23.4375</v>
      </c>
      <c r="J118" s="5">
        <v>0</v>
      </c>
      <c r="K118" s="5">
        <v>0</v>
      </c>
      <c r="L118" s="5">
        <v>0</v>
      </c>
      <c r="M118" s="5">
        <v>0</v>
      </c>
      <c r="N118">
        <v>0</v>
      </c>
      <c r="O118" s="5">
        <v>5</v>
      </c>
      <c r="P118" s="5">
        <v>5</v>
      </c>
      <c r="Q118" s="5">
        <v>1</v>
      </c>
      <c r="R118" s="5">
        <v>1</v>
      </c>
      <c r="S118" s="5">
        <v>21</v>
      </c>
      <c r="T118">
        <v>6</v>
      </c>
      <c r="U118">
        <v>4</v>
      </c>
      <c r="V118">
        <v>0</v>
      </c>
      <c r="W118">
        <v>0</v>
      </c>
      <c r="X118" t="s">
        <v>51</v>
      </c>
      <c r="Y118">
        <v>3</v>
      </c>
      <c r="Z118" t="s">
        <v>37</v>
      </c>
      <c r="AA118">
        <v>16.32</v>
      </c>
      <c r="AB118">
        <v>4.76</v>
      </c>
      <c r="AC118">
        <v>38.2</v>
      </c>
    </row>
    <row r="119" spans="1:31">
      <c r="A119" s="1" t="s">
        <v>316</v>
      </c>
      <c r="B119" t="s">
        <v>317</v>
      </c>
      <c r="C119" s="2">
        <v>37</v>
      </c>
      <c r="D119">
        <v>0</v>
      </c>
      <c r="E119">
        <v>4.23</v>
      </c>
      <c r="F119">
        <v>0</v>
      </c>
      <c r="G119">
        <v>155</v>
      </c>
      <c r="H119" s="2">
        <v>58</v>
      </c>
      <c r="I119" s="3">
        <f t="shared" si="2"/>
        <v>24.1415192507804</v>
      </c>
      <c r="J119">
        <v>0</v>
      </c>
      <c r="K119">
        <v>0</v>
      </c>
      <c r="L119">
        <v>0</v>
      </c>
      <c r="M119">
        <v>0</v>
      </c>
      <c r="N119">
        <v>1</v>
      </c>
      <c r="O119" s="5">
        <v>5</v>
      </c>
      <c r="P119" s="5">
        <v>5</v>
      </c>
      <c r="Q119" s="5">
        <v>1</v>
      </c>
      <c r="R119" s="5">
        <v>0</v>
      </c>
      <c r="S119" s="5">
        <v>20</v>
      </c>
      <c r="T119">
        <v>6</v>
      </c>
      <c r="U119">
        <v>4</v>
      </c>
      <c r="V119">
        <v>0</v>
      </c>
      <c r="W119">
        <v>0</v>
      </c>
      <c r="X119" t="s">
        <v>48</v>
      </c>
      <c r="Y119">
        <v>2</v>
      </c>
      <c r="Z119" t="s">
        <v>34</v>
      </c>
      <c r="AA119">
        <v>18.2</v>
      </c>
      <c r="AB119">
        <v>10.66</v>
      </c>
      <c r="AC119">
        <v>96.97</v>
      </c>
      <c r="AE119" t="s">
        <v>318</v>
      </c>
    </row>
    <row r="120" spans="1:31">
      <c r="A120" s="1" t="s">
        <v>319</v>
      </c>
      <c r="B120" t="s">
        <v>320</v>
      </c>
      <c r="C120" s="2">
        <v>57</v>
      </c>
      <c r="D120">
        <v>0</v>
      </c>
      <c r="E120">
        <v>4.09</v>
      </c>
      <c r="F120">
        <v>0</v>
      </c>
      <c r="G120">
        <v>158</v>
      </c>
      <c r="H120" s="2">
        <v>69</v>
      </c>
      <c r="I120" s="3">
        <f t="shared" si="2"/>
        <v>27.639801313892</v>
      </c>
      <c r="J120">
        <v>0</v>
      </c>
      <c r="K120">
        <v>0</v>
      </c>
      <c r="L120">
        <v>1</v>
      </c>
      <c r="M120">
        <v>0</v>
      </c>
      <c r="N120">
        <v>0</v>
      </c>
      <c r="O120" s="5">
        <v>5</v>
      </c>
      <c r="P120" s="5">
        <v>5</v>
      </c>
      <c r="Q120" s="5">
        <v>1</v>
      </c>
      <c r="R120" s="5">
        <v>1</v>
      </c>
      <c r="S120" s="5">
        <v>20</v>
      </c>
      <c r="T120">
        <v>6</v>
      </c>
      <c r="U120">
        <v>4</v>
      </c>
      <c r="V120">
        <v>0</v>
      </c>
      <c r="W120">
        <v>0</v>
      </c>
      <c r="X120" t="s">
        <v>33</v>
      </c>
      <c r="Y120">
        <v>2</v>
      </c>
      <c r="Z120" t="s">
        <v>37</v>
      </c>
      <c r="AA120">
        <v>18.29</v>
      </c>
      <c r="AB120">
        <v>15</v>
      </c>
      <c r="AC120">
        <v>159.33</v>
      </c>
    </row>
    <row r="121" spans="1:31">
      <c r="A121" s="1" t="s">
        <v>321</v>
      </c>
      <c r="B121" t="s">
        <v>322</v>
      </c>
      <c r="C121" s="2">
        <v>85</v>
      </c>
      <c r="D121">
        <v>0</v>
      </c>
      <c r="E121">
        <v>6.52</v>
      </c>
      <c r="F121">
        <v>0</v>
      </c>
      <c r="G121">
        <v>166</v>
      </c>
      <c r="H121" s="2">
        <v>55</v>
      </c>
      <c r="I121" s="3">
        <f t="shared" si="2"/>
        <v>19.9593554942662</v>
      </c>
      <c r="J121" s="5">
        <v>1</v>
      </c>
      <c r="K121" s="5">
        <v>1</v>
      </c>
      <c r="L121" s="5">
        <v>0</v>
      </c>
      <c r="M121" s="5">
        <v>0</v>
      </c>
      <c r="N121">
        <v>0</v>
      </c>
      <c r="O121" s="5">
        <v>5</v>
      </c>
      <c r="P121" s="5">
        <v>5</v>
      </c>
      <c r="Q121" s="5">
        <v>1</v>
      </c>
      <c r="R121" s="8">
        <v>1</v>
      </c>
      <c r="S121" s="8">
        <v>21</v>
      </c>
      <c r="T121">
        <v>4</v>
      </c>
      <c r="U121">
        <v>4</v>
      </c>
      <c r="V121">
        <v>0</v>
      </c>
      <c r="W121">
        <v>1</v>
      </c>
      <c r="X121" t="s">
        <v>51</v>
      </c>
      <c r="Y121">
        <v>3</v>
      </c>
      <c r="Z121" t="s">
        <v>37</v>
      </c>
      <c r="AA121">
        <v>15.04</v>
      </c>
      <c r="AB121">
        <v>1.93</v>
      </c>
      <c r="AC121">
        <v>60</v>
      </c>
    </row>
    <row r="122" spans="1:31">
      <c r="A122" s="1" t="s">
        <v>323</v>
      </c>
      <c r="B122" t="s">
        <v>324</v>
      </c>
      <c r="C122" s="2">
        <v>56</v>
      </c>
      <c r="D122">
        <v>1</v>
      </c>
      <c r="E122">
        <v>3.18</v>
      </c>
      <c r="F122">
        <v>1</v>
      </c>
      <c r="G122">
        <v>162</v>
      </c>
      <c r="H122" s="2">
        <v>60</v>
      </c>
      <c r="I122" s="3">
        <f t="shared" si="2"/>
        <v>22.8623685413809</v>
      </c>
      <c r="J122" s="5">
        <v>0</v>
      </c>
      <c r="K122" s="5">
        <v>0</v>
      </c>
      <c r="L122" s="5">
        <v>0</v>
      </c>
      <c r="M122" s="5">
        <v>0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13</v>
      </c>
      <c r="T122">
        <v>4</v>
      </c>
      <c r="U122">
        <v>3</v>
      </c>
      <c r="V122">
        <v>1</v>
      </c>
      <c r="W122">
        <v>0</v>
      </c>
      <c r="X122" t="s">
        <v>48</v>
      </c>
      <c r="Y122">
        <v>2</v>
      </c>
      <c r="Z122" t="s">
        <v>37</v>
      </c>
      <c r="AA122">
        <v>16.53</v>
      </c>
      <c r="AB122">
        <v>9.65</v>
      </c>
      <c r="AC122">
        <v>68.93</v>
      </c>
    </row>
    <row r="123" spans="1:31">
      <c r="A123" s="1" t="s">
        <v>325</v>
      </c>
      <c r="B123" t="s">
        <v>326</v>
      </c>
      <c r="C123" s="2">
        <v>55</v>
      </c>
      <c r="D123">
        <v>1</v>
      </c>
      <c r="E123">
        <v>4.64</v>
      </c>
      <c r="F123">
        <v>0</v>
      </c>
      <c r="G123">
        <v>157</v>
      </c>
      <c r="H123" s="2">
        <v>64</v>
      </c>
      <c r="I123" s="3">
        <f t="shared" si="2"/>
        <v>25.9645421720962</v>
      </c>
      <c r="J123" s="5">
        <v>0</v>
      </c>
      <c r="K123" s="5">
        <v>0</v>
      </c>
      <c r="L123" s="5">
        <v>0</v>
      </c>
      <c r="M123" s="5">
        <v>0</v>
      </c>
      <c r="N123">
        <v>0</v>
      </c>
      <c r="O123" s="5">
        <v>5</v>
      </c>
      <c r="P123" s="5">
        <v>5</v>
      </c>
      <c r="Q123" s="5">
        <v>1</v>
      </c>
      <c r="R123" s="5">
        <v>1</v>
      </c>
      <c r="S123" s="5">
        <v>22</v>
      </c>
      <c r="T123">
        <v>4</v>
      </c>
      <c r="U123">
        <v>4</v>
      </c>
      <c r="V123">
        <v>0</v>
      </c>
      <c r="W123">
        <v>1</v>
      </c>
      <c r="X123" t="s">
        <v>48</v>
      </c>
      <c r="Y123">
        <v>2</v>
      </c>
      <c r="Z123" t="s">
        <v>37</v>
      </c>
      <c r="AA123">
        <v>15.36</v>
      </c>
      <c r="AB123">
        <v>7.08</v>
      </c>
      <c r="AC123">
        <v>53.23</v>
      </c>
    </row>
    <row r="124" spans="1:31">
      <c r="A124" s="1" t="s">
        <v>327</v>
      </c>
      <c r="B124" t="s">
        <v>328</v>
      </c>
      <c r="C124" s="2">
        <v>55</v>
      </c>
      <c r="D124">
        <v>1</v>
      </c>
      <c r="E124">
        <v>5.71</v>
      </c>
      <c r="F124">
        <v>0</v>
      </c>
      <c r="G124">
        <v>153</v>
      </c>
      <c r="H124" s="2">
        <v>56</v>
      </c>
      <c r="I124" s="3">
        <f t="shared" si="2"/>
        <v>23.922422999701</v>
      </c>
      <c r="J124" s="5">
        <v>0</v>
      </c>
      <c r="K124" s="5">
        <v>0</v>
      </c>
      <c r="L124" s="5">
        <v>1</v>
      </c>
      <c r="M124" s="5">
        <v>0</v>
      </c>
      <c r="N124">
        <v>0</v>
      </c>
      <c r="O124" s="5">
        <v>5</v>
      </c>
      <c r="P124" s="5">
        <v>5</v>
      </c>
      <c r="Q124" s="5">
        <v>1</v>
      </c>
      <c r="R124" s="5">
        <v>1</v>
      </c>
      <c r="S124" s="5">
        <v>20</v>
      </c>
      <c r="T124">
        <v>5</v>
      </c>
      <c r="U124">
        <v>5</v>
      </c>
      <c r="V124">
        <v>0</v>
      </c>
      <c r="W124">
        <v>0</v>
      </c>
      <c r="X124" t="s">
        <v>48</v>
      </c>
      <c r="Y124">
        <v>3</v>
      </c>
      <c r="Z124" t="s">
        <v>37</v>
      </c>
      <c r="AA124">
        <v>17.32</v>
      </c>
      <c r="AB124">
        <v>9.04</v>
      </c>
      <c r="AC124">
        <v>63.84</v>
      </c>
    </row>
    <row r="125" spans="1:31">
      <c r="A125" s="1" t="s">
        <v>329</v>
      </c>
      <c r="B125" t="s">
        <v>330</v>
      </c>
      <c r="C125" s="2">
        <v>38</v>
      </c>
      <c r="D125">
        <v>1</v>
      </c>
      <c r="E125">
        <v>6.45</v>
      </c>
      <c r="F125">
        <v>1</v>
      </c>
      <c r="G125">
        <v>160</v>
      </c>
      <c r="H125" s="2">
        <v>67</v>
      </c>
      <c r="I125" s="3">
        <f t="shared" si="2"/>
        <v>26.171875</v>
      </c>
      <c r="J125" s="5">
        <v>0</v>
      </c>
      <c r="K125" s="5">
        <v>0</v>
      </c>
      <c r="L125" s="5">
        <v>0</v>
      </c>
      <c r="M125" s="5">
        <v>0</v>
      </c>
      <c r="N125">
        <v>0</v>
      </c>
      <c r="O125">
        <v>4</v>
      </c>
      <c r="P125">
        <v>0</v>
      </c>
      <c r="Q125">
        <v>1</v>
      </c>
      <c r="R125">
        <v>1</v>
      </c>
      <c r="S125">
        <v>12</v>
      </c>
      <c r="T125">
        <v>3</v>
      </c>
      <c r="U125">
        <v>5</v>
      </c>
      <c r="V125">
        <v>1</v>
      </c>
      <c r="W125">
        <v>1</v>
      </c>
      <c r="X125" t="s">
        <v>33</v>
      </c>
      <c r="Y125">
        <v>3</v>
      </c>
      <c r="Z125" t="s">
        <v>37</v>
      </c>
      <c r="AA125">
        <v>16.09</v>
      </c>
      <c r="AB125">
        <v>10.26</v>
      </c>
      <c r="AC125">
        <v>161.19</v>
      </c>
    </row>
    <row r="126" spans="1:31">
      <c r="A126" s="1" t="s">
        <v>331</v>
      </c>
      <c r="B126" t="s">
        <v>332</v>
      </c>
      <c r="C126" s="2">
        <v>71</v>
      </c>
      <c r="D126">
        <v>0</v>
      </c>
      <c r="E126">
        <v>4.89</v>
      </c>
      <c r="F126">
        <v>1</v>
      </c>
      <c r="G126">
        <v>159</v>
      </c>
      <c r="H126" s="2">
        <v>62</v>
      </c>
      <c r="I126" s="3">
        <f t="shared" si="2"/>
        <v>24.5243463470591</v>
      </c>
      <c r="J126" s="5">
        <v>1</v>
      </c>
      <c r="K126" s="5">
        <v>0</v>
      </c>
      <c r="L126" s="5">
        <v>1</v>
      </c>
      <c r="M126" s="5">
        <v>0</v>
      </c>
      <c r="N126">
        <v>1</v>
      </c>
      <c r="O126">
        <v>3</v>
      </c>
      <c r="P126">
        <v>4</v>
      </c>
      <c r="Q126">
        <v>1</v>
      </c>
      <c r="R126">
        <v>1</v>
      </c>
      <c r="S126">
        <v>17</v>
      </c>
      <c r="T126">
        <v>6</v>
      </c>
      <c r="U126">
        <v>4</v>
      </c>
      <c r="V126">
        <v>0</v>
      </c>
      <c r="W126">
        <v>1</v>
      </c>
      <c r="X126" t="s">
        <v>33</v>
      </c>
      <c r="Y126">
        <v>2</v>
      </c>
      <c r="Z126" t="s">
        <v>37</v>
      </c>
      <c r="AA126">
        <v>16.03</v>
      </c>
      <c r="AB126">
        <v>9.34</v>
      </c>
      <c r="AC126">
        <v>86.51</v>
      </c>
    </row>
    <row r="127" spans="1:31">
      <c r="A127" s="1" t="s">
        <v>333</v>
      </c>
      <c r="B127" t="s">
        <v>334</v>
      </c>
      <c r="C127" s="6">
        <v>53</v>
      </c>
      <c r="D127">
        <v>0</v>
      </c>
      <c r="E127">
        <v>2.49</v>
      </c>
      <c r="F127">
        <v>1</v>
      </c>
      <c r="G127">
        <v>155</v>
      </c>
      <c r="H127" s="2">
        <v>59</v>
      </c>
      <c r="I127" s="3">
        <f t="shared" si="2"/>
        <v>24.5577523413111</v>
      </c>
      <c r="J127" s="5">
        <v>0</v>
      </c>
      <c r="K127" s="5">
        <v>0</v>
      </c>
      <c r="L127" s="5">
        <v>0</v>
      </c>
      <c r="M127" s="5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12</v>
      </c>
      <c r="T127">
        <v>6</v>
      </c>
      <c r="U127">
        <v>3</v>
      </c>
      <c r="V127">
        <v>0</v>
      </c>
      <c r="W127">
        <v>0</v>
      </c>
      <c r="X127" t="s">
        <v>33</v>
      </c>
      <c r="Y127">
        <v>2</v>
      </c>
      <c r="Z127" t="s">
        <v>34</v>
      </c>
      <c r="AA127">
        <v>18.2</v>
      </c>
      <c r="AB127">
        <v>10.91</v>
      </c>
      <c r="AC127">
        <v>158.09</v>
      </c>
    </row>
    <row r="128" spans="1:31">
      <c r="A128" s="1" t="s">
        <v>335</v>
      </c>
      <c r="B128" t="s">
        <v>336</v>
      </c>
      <c r="C128" s="6">
        <v>79</v>
      </c>
      <c r="D128">
        <v>1</v>
      </c>
      <c r="E128">
        <v>1.84</v>
      </c>
      <c r="F128">
        <v>1</v>
      </c>
      <c r="G128">
        <v>158</v>
      </c>
      <c r="H128" s="2">
        <v>61</v>
      </c>
      <c r="I128" s="3">
        <f t="shared" si="2"/>
        <v>24.4351866688031</v>
      </c>
      <c r="J128" s="5">
        <v>0</v>
      </c>
      <c r="K128" s="5">
        <v>0</v>
      </c>
      <c r="L128" s="5">
        <v>1</v>
      </c>
      <c r="M128" s="5">
        <v>1</v>
      </c>
      <c r="N128">
        <v>1</v>
      </c>
      <c r="O128">
        <v>4</v>
      </c>
      <c r="P128">
        <v>3</v>
      </c>
      <c r="Q128">
        <v>1</v>
      </c>
      <c r="R128">
        <v>1</v>
      </c>
      <c r="S128">
        <v>12</v>
      </c>
      <c r="T128">
        <v>4</v>
      </c>
      <c r="U128">
        <v>3</v>
      </c>
      <c r="V128">
        <v>0</v>
      </c>
      <c r="W128">
        <v>1</v>
      </c>
      <c r="X128" t="s">
        <v>33</v>
      </c>
      <c r="Y128">
        <v>2</v>
      </c>
      <c r="Z128" t="s">
        <v>37</v>
      </c>
      <c r="AA128">
        <v>16.71</v>
      </c>
      <c r="AB128">
        <v>8.56</v>
      </c>
      <c r="AC128">
        <v>82.1</v>
      </c>
    </row>
    <row r="129" spans="1:30">
      <c r="A129" s="1" t="s">
        <v>337</v>
      </c>
      <c r="B129" t="s">
        <v>338</v>
      </c>
      <c r="C129" s="6">
        <v>51</v>
      </c>
      <c r="D129">
        <v>1</v>
      </c>
      <c r="E129">
        <v>5.16</v>
      </c>
      <c r="F129">
        <v>1</v>
      </c>
      <c r="G129">
        <v>163</v>
      </c>
      <c r="H129" s="2">
        <v>65</v>
      </c>
      <c r="I129" s="3">
        <f t="shared" si="2"/>
        <v>24.4646016033724</v>
      </c>
      <c r="J129" s="5">
        <v>0</v>
      </c>
      <c r="K129" s="5">
        <v>0</v>
      </c>
      <c r="L129" s="5">
        <v>1</v>
      </c>
      <c r="M129" s="5">
        <v>1</v>
      </c>
      <c r="N129">
        <v>1</v>
      </c>
      <c r="O129">
        <v>4</v>
      </c>
      <c r="P129">
        <v>3</v>
      </c>
      <c r="Q129">
        <v>1</v>
      </c>
      <c r="R129">
        <v>1</v>
      </c>
      <c r="S129">
        <v>16</v>
      </c>
      <c r="T129">
        <v>6</v>
      </c>
      <c r="U129">
        <v>5</v>
      </c>
      <c r="V129">
        <v>1</v>
      </c>
      <c r="W129">
        <v>0</v>
      </c>
      <c r="X129" t="s">
        <v>48</v>
      </c>
      <c r="Y129">
        <v>2</v>
      </c>
      <c r="Z129" t="s">
        <v>37</v>
      </c>
      <c r="AA129">
        <v>17.2</v>
      </c>
      <c r="AB129">
        <v>5.07</v>
      </c>
      <c r="AC129">
        <v>99.13</v>
      </c>
      <c r="AD129" t="s">
        <v>339</v>
      </c>
    </row>
    <row r="130" spans="1:30">
      <c r="A130" s="1" t="s">
        <v>340</v>
      </c>
      <c r="B130" t="s">
        <v>341</v>
      </c>
      <c r="C130" s="6">
        <v>62</v>
      </c>
      <c r="D130">
        <v>0</v>
      </c>
      <c r="E130">
        <v>4.6</v>
      </c>
      <c r="F130">
        <v>1</v>
      </c>
      <c r="G130">
        <v>161</v>
      </c>
      <c r="H130" s="2">
        <v>54</v>
      </c>
      <c r="I130" s="3">
        <f t="shared" si="2"/>
        <v>20.8325296091972</v>
      </c>
      <c r="J130" s="5">
        <v>1</v>
      </c>
      <c r="K130" s="5">
        <v>0</v>
      </c>
      <c r="L130" s="5">
        <v>1</v>
      </c>
      <c r="M130" s="5">
        <v>0</v>
      </c>
      <c r="N130">
        <v>0</v>
      </c>
      <c r="O130">
        <v>2</v>
      </c>
      <c r="P130">
        <v>2</v>
      </c>
      <c r="Q130">
        <v>1</v>
      </c>
      <c r="R130">
        <v>1</v>
      </c>
      <c r="S130">
        <v>16</v>
      </c>
      <c r="T130">
        <v>5</v>
      </c>
      <c r="U130">
        <v>4</v>
      </c>
      <c r="V130">
        <v>1</v>
      </c>
      <c r="W130">
        <v>0</v>
      </c>
      <c r="X130" t="s">
        <v>48</v>
      </c>
      <c r="Y130">
        <v>2</v>
      </c>
      <c r="Z130" t="s">
        <v>37</v>
      </c>
      <c r="AA130">
        <v>16.49</v>
      </c>
      <c r="AB130">
        <v>8.87</v>
      </c>
      <c r="AC130">
        <v>98.99</v>
      </c>
    </row>
    <row r="131" spans="1:30">
      <c r="A131" s="1" t="s">
        <v>342</v>
      </c>
      <c r="B131" t="s">
        <v>343</v>
      </c>
      <c r="C131" s="6">
        <v>60</v>
      </c>
      <c r="D131">
        <v>0</v>
      </c>
      <c r="E131">
        <v>2.35</v>
      </c>
      <c r="F131">
        <v>1</v>
      </c>
      <c r="G131">
        <v>156</v>
      </c>
      <c r="H131" s="2">
        <v>70</v>
      </c>
      <c r="I131" s="3">
        <f t="shared" si="2"/>
        <v>28.7639710716634</v>
      </c>
      <c r="J131" s="5">
        <v>0</v>
      </c>
      <c r="K131" s="5">
        <v>0</v>
      </c>
      <c r="L131" s="5">
        <v>1</v>
      </c>
      <c r="M131" s="5">
        <v>0</v>
      </c>
      <c r="N131">
        <v>1</v>
      </c>
      <c r="O131">
        <v>4</v>
      </c>
      <c r="P131">
        <v>3</v>
      </c>
      <c r="Q131">
        <v>1</v>
      </c>
      <c r="R131">
        <v>0</v>
      </c>
      <c r="S131">
        <v>19</v>
      </c>
      <c r="T131">
        <v>5</v>
      </c>
      <c r="U131">
        <v>4</v>
      </c>
      <c r="V131">
        <v>0</v>
      </c>
      <c r="W131">
        <v>1</v>
      </c>
      <c r="X131" t="s">
        <v>33</v>
      </c>
      <c r="Y131">
        <v>2</v>
      </c>
      <c r="Z131" t="s">
        <v>37</v>
      </c>
      <c r="AA131">
        <v>16.72</v>
      </c>
      <c r="AB131">
        <v>5.79</v>
      </c>
      <c r="AC131">
        <v>133.58</v>
      </c>
    </row>
    <row r="132" spans="1:30">
      <c r="A132" s="1" t="s">
        <v>344</v>
      </c>
      <c r="B132" t="s">
        <v>345</v>
      </c>
      <c r="C132" s="6">
        <v>72</v>
      </c>
      <c r="D132">
        <v>0</v>
      </c>
      <c r="E132">
        <v>4.84</v>
      </c>
      <c r="F132">
        <v>1</v>
      </c>
      <c r="G132">
        <v>159</v>
      </c>
      <c r="H132" s="2">
        <v>60</v>
      </c>
      <c r="I132" s="3">
        <f t="shared" si="2"/>
        <v>23.7332384003797</v>
      </c>
      <c r="J132" s="5">
        <v>0</v>
      </c>
      <c r="K132" s="5">
        <v>0</v>
      </c>
      <c r="L132" s="5">
        <v>0</v>
      </c>
      <c r="M132" s="5">
        <v>0</v>
      </c>
      <c r="N132">
        <v>1</v>
      </c>
      <c r="O132" s="5">
        <v>4</v>
      </c>
      <c r="P132" s="5">
        <v>3</v>
      </c>
      <c r="Q132" s="5">
        <v>1</v>
      </c>
      <c r="R132" s="5">
        <v>1</v>
      </c>
      <c r="S132" s="5">
        <v>17</v>
      </c>
      <c r="T132">
        <v>6</v>
      </c>
      <c r="U132">
        <v>3</v>
      </c>
      <c r="V132">
        <v>1</v>
      </c>
      <c r="W132">
        <v>0</v>
      </c>
      <c r="X132" t="s">
        <v>48</v>
      </c>
      <c r="Y132">
        <v>2</v>
      </c>
      <c r="Z132" t="s">
        <v>37</v>
      </c>
      <c r="AA132">
        <v>17.38</v>
      </c>
      <c r="AB132">
        <v>7.08</v>
      </c>
      <c r="AC132">
        <v>89.02</v>
      </c>
    </row>
    <row r="133" spans="1:30">
      <c r="A133" s="1" t="s">
        <v>346</v>
      </c>
      <c r="B133" t="s">
        <v>347</v>
      </c>
      <c r="C133" s="6">
        <v>52</v>
      </c>
      <c r="D133">
        <v>0</v>
      </c>
      <c r="E133">
        <v>2.04</v>
      </c>
      <c r="F133">
        <v>1</v>
      </c>
      <c r="G133">
        <v>165</v>
      </c>
      <c r="H133" s="2">
        <v>58</v>
      </c>
      <c r="I133" s="3">
        <f t="shared" si="2"/>
        <v>21.3039485766759</v>
      </c>
      <c r="J133" s="5">
        <v>0</v>
      </c>
      <c r="K133" s="5">
        <v>0</v>
      </c>
      <c r="L133" s="5">
        <v>0</v>
      </c>
      <c r="M133" s="5">
        <v>0</v>
      </c>
      <c r="N133">
        <v>1</v>
      </c>
      <c r="O133" s="5">
        <v>0</v>
      </c>
      <c r="P133" s="5">
        <v>0</v>
      </c>
      <c r="Q133" s="5">
        <v>1</v>
      </c>
      <c r="R133" s="5">
        <v>1</v>
      </c>
      <c r="S133" s="5">
        <v>9</v>
      </c>
      <c r="T133">
        <v>6</v>
      </c>
      <c r="U133">
        <v>4</v>
      </c>
      <c r="V133">
        <v>1</v>
      </c>
      <c r="W133">
        <v>0</v>
      </c>
      <c r="X133" t="s">
        <v>48</v>
      </c>
      <c r="Y133">
        <v>2</v>
      </c>
      <c r="Z133" t="s">
        <v>37</v>
      </c>
      <c r="AA133">
        <v>16.71</v>
      </c>
      <c r="AB133">
        <v>6.05</v>
      </c>
      <c r="AC133">
        <v>74.85</v>
      </c>
    </row>
    <row r="134" spans="1:30">
      <c r="A134" s="1" t="s">
        <v>348</v>
      </c>
      <c r="B134" t="s">
        <v>349</v>
      </c>
      <c r="C134" s="6">
        <v>36</v>
      </c>
      <c r="D134">
        <v>0</v>
      </c>
      <c r="E134">
        <v>2.65</v>
      </c>
      <c r="F134">
        <v>1</v>
      </c>
      <c r="G134">
        <v>157</v>
      </c>
      <c r="H134" s="2">
        <v>63</v>
      </c>
      <c r="I134" s="3">
        <f t="shared" si="2"/>
        <v>25.5588462006572</v>
      </c>
      <c r="J134" s="5">
        <v>0</v>
      </c>
      <c r="K134" s="5">
        <v>0</v>
      </c>
      <c r="L134" s="5">
        <v>1</v>
      </c>
      <c r="M134" s="5">
        <v>0</v>
      </c>
      <c r="N134">
        <v>1</v>
      </c>
      <c r="O134" s="5">
        <v>3</v>
      </c>
      <c r="P134" s="5">
        <v>2</v>
      </c>
      <c r="Q134" s="5">
        <v>1</v>
      </c>
      <c r="R134" s="5">
        <v>0</v>
      </c>
      <c r="S134" s="5">
        <v>17</v>
      </c>
      <c r="T134">
        <v>5</v>
      </c>
      <c r="U134">
        <v>4</v>
      </c>
      <c r="V134">
        <v>0</v>
      </c>
      <c r="W134">
        <v>1</v>
      </c>
      <c r="X134" t="s">
        <v>33</v>
      </c>
      <c r="Y134">
        <v>1</v>
      </c>
      <c r="Z134" t="s">
        <v>37</v>
      </c>
      <c r="AA134">
        <v>17.5</v>
      </c>
      <c r="AB134">
        <v>13</v>
      </c>
      <c r="AC134">
        <v>99.19</v>
      </c>
    </row>
    <row r="135" spans="1:30">
      <c r="A135" s="1" t="s">
        <v>350</v>
      </c>
      <c r="B135" t="s">
        <v>351</v>
      </c>
      <c r="C135" s="6">
        <v>61</v>
      </c>
      <c r="D135">
        <v>1</v>
      </c>
      <c r="E135">
        <v>2.03</v>
      </c>
      <c r="F135">
        <v>1</v>
      </c>
      <c r="G135">
        <v>151</v>
      </c>
      <c r="H135" s="2">
        <v>57</v>
      </c>
      <c r="I135" s="3">
        <f t="shared" si="2"/>
        <v>24.9989035568615</v>
      </c>
      <c r="J135" s="5">
        <v>0</v>
      </c>
      <c r="K135" s="5">
        <v>1</v>
      </c>
      <c r="L135" s="5">
        <v>0</v>
      </c>
      <c r="M135" s="5">
        <v>0</v>
      </c>
      <c r="N135">
        <v>0</v>
      </c>
      <c r="O135" s="5">
        <v>3</v>
      </c>
      <c r="P135" s="5">
        <v>0</v>
      </c>
      <c r="Q135" s="5">
        <v>1</v>
      </c>
      <c r="R135" s="5">
        <v>0</v>
      </c>
      <c r="S135" s="5">
        <v>17</v>
      </c>
      <c r="T135">
        <v>5</v>
      </c>
      <c r="U135">
        <v>4</v>
      </c>
      <c r="V135">
        <v>0</v>
      </c>
      <c r="W135">
        <v>1</v>
      </c>
      <c r="X135" t="s">
        <v>48</v>
      </c>
      <c r="Y135">
        <v>2</v>
      </c>
      <c r="Z135" t="s">
        <v>37</v>
      </c>
      <c r="AA135">
        <v>15.89</v>
      </c>
      <c r="AB135">
        <v>9.08</v>
      </c>
      <c r="AC135">
        <v>88.54</v>
      </c>
      <c r="AD135" s="4" t="s">
        <v>352</v>
      </c>
    </row>
    <row r="136" spans="1:30">
      <c r="A136" s="1" t="s">
        <v>353</v>
      </c>
      <c r="B136" t="s">
        <v>354</v>
      </c>
      <c r="C136" s="6">
        <v>45</v>
      </c>
      <c r="D136">
        <v>0</v>
      </c>
      <c r="E136">
        <v>3.58</v>
      </c>
      <c r="F136">
        <v>1</v>
      </c>
      <c r="G136">
        <v>160</v>
      </c>
      <c r="H136" s="2">
        <v>66</v>
      </c>
      <c r="I136" s="3">
        <f t="shared" si="2"/>
        <v>25.78125</v>
      </c>
      <c r="J136" s="5">
        <v>0</v>
      </c>
      <c r="K136" s="5">
        <v>1</v>
      </c>
      <c r="L136" s="5">
        <v>1</v>
      </c>
      <c r="M136" s="5">
        <v>0</v>
      </c>
      <c r="N136">
        <v>1</v>
      </c>
      <c r="O136" s="5">
        <v>0</v>
      </c>
      <c r="P136" s="5">
        <v>5</v>
      </c>
      <c r="Q136" s="5">
        <v>1</v>
      </c>
      <c r="R136" s="5">
        <v>1</v>
      </c>
      <c r="S136" s="5">
        <v>16</v>
      </c>
      <c r="T136">
        <v>5</v>
      </c>
      <c r="U136">
        <v>4</v>
      </c>
      <c r="V136">
        <v>0</v>
      </c>
      <c r="W136">
        <v>0</v>
      </c>
      <c r="X136" t="s">
        <v>34</v>
      </c>
      <c r="Y136">
        <v>2</v>
      </c>
      <c r="Z136" t="s">
        <v>34</v>
      </c>
      <c r="AA136">
        <v>18.1</v>
      </c>
      <c r="AB136">
        <v>7.31</v>
      </c>
      <c r="AC136">
        <v>106.9</v>
      </c>
    </row>
    <row r="137" spans="1:30">
      <c r="A137" s="1" t="s">
        <v>355</v>
      </c>
      <c r="B137" t="s">
        <v>356</v>
      </c>
      <c r="C137" s="6">
        <v>39</v>
      </c>
      <c r="D137">
        <v>0</v>
      </c>
      <c r="E137">
        <v>0.72</v>
      </c>
      <c r="F137">
        <v>1</v>
      </c>
      <c r="G137">
        <v>158</v>
      </c>
      <c r="H137" s="2">
        <v>59</v>
      </c>
      <c r="I137" s="3">
        <f t="shared" si="2"/>
        <v>23.6340330075308</v>
      </c>
      <c r="J137" s="5">
        <v>1</v>
      </c>
      <c r="K137" s="5">
        <v>1</v>
      </c>
      <c r="L137" s="5">
        <v>0</v>
      </c>
      <c r="M137" s="5">
        <v>0</v>
      </c>
      <c r="N137">
        <v>0</v>
      </c>
      <c r="O137" s="5">
        <v>4</v>
      </c>
      <c r="P137" s="5">
        <v>0</v>
      </c>
      <c r="Q137" s="5">
        <v>1</v>
      </c>
      <c r="R137" s="5">
        <v>1</v>
      </c>
      <c r="S137" s="5">
        <v>11</v>
      </c>
      <c r="T137">
        <v>4</v>
      </c>
      <c r="U137">
        <v>4</v>
      </c>
      <c r="V137">
        <v>0</v>
      </c>
      <c r="W137">
        <v>0</v>
      </c>
      <c r="X137" t="s">
        <v>33</v>
      </c>
      <c r="Y137">
        <v>2</v>
      </c>
      <c r="Z137" t="s">
        <v>37</v>
      </c>
      <c r="AA137">
        <v>18.08</v>
      </c>
      <c r="AB137">
        <v>9.67</v>
      </c>
      <c r="AC137">
        <v>144.47</v>
      </c>
    </row>
    <row r="138" spans="1:30">
      <c r="A138" s="1" t="s">
        <v>357</v>
      </c>
      <c r="B138" t="s">
        <v>358</v>
      </c>
      <c r="C138" s="6">
        <v>84</v>
      </c>
      <c r="D138">
        <v>0</v>
      </c>
      <c r="E138">
        <v>5.97</v>
      </c>
      <c r="F138">
        <v>1</v>
      </c>
      <c r="G138">
        <v>154</v>
      </c>
      <c r="H138" s="2">
        <v>62</v>
      </c>
      <c r="I138" s="3">
        <f t="shared" ref="I138:I201" si="3">H138/((G138/100)^2)</f>
        <v>26.1426884803508</v>
      </c>
      <c r="J138" s="5">
        <v>1</v>
      </c>
      <c r="K138" s="5">
        <v>1</v>
      </c>
      <c r="L138" s="5">
        <v>0</v>
      </c>
      <c r="M138" s="5">
        <v>0</v>
      </c>
      <c r="N138">
        <v>1</v>
      </c>
      <c r="O138" s="5">
        <v>5</v>
      </c>
      <c r="P138" s="5">
        <v>2</v>
      </c>
      <c r="Q138" s="5">
        <v>1</v>
      </c>
      <c r="R138" s="5">
        <v>1</v>
      </c>
      <c r="S138" s="5">
        <v>12</v>
      </c>
      <c r="T138">
        <v>6</v>
      </c>
      <c r="U138">
        <v>4</v>
      </c>
      <c r="V138">
        <v>0</v>
      </c>
      <c r="W138">
        <v>0</v>
      </c>
      <c r="X138" t="s">
        <v>34</v>
      </c>
      <c r="Y138">
        <v>2</v>
      </c>
      <c r="Z138" t="s">
        <v>34</v>
      </c>
      <c r="AA138">
        <v>14.6</v>
      </c>
      <c r="AB138" s="3">
        <v>7.9</v>
      </c>
      <c r="AC138">
        <v>104.18</v>
      </c>
      <c r="AD138" t="s">
        <v>359</v>
      </c>
    </row>
    <row r="139" spans="1:30">
      <c r="A139" s="1" t="s">
        <v>360</v>
      </c>
      <c r="B139" t="s">
        <v>361</v>
      </c>
      <c r="C139" s="6">
        <v>47</v>
      </c>
      <c r="D139">
        <v>1</v>
      </c>
      <c r="E139">
        <v>6.8</v>
      </c>
      <c r="F139">
        <v>1</v>
      </c>
      <c r="G139">
        <v>162</v>
      </c>
      <c r="H139" s="2">
        <v>55</v>
      </c>
      <c r="I139" s="3">
        <f t="shared" si="3"/>
        <v>20.9571711629325</v>
      </c>
      <c r="J139" s="5">
        <v>0</v>
      </c>
      <c r="K139" s="5">
        <v>0</v>
      </c>
      <c r="L139" s="5">
        <v>0</v>
      </c>
      <c r="M139" s="5">
        <v>0</v>
      </c>
      <c r="N139">
        <v>1</v>
      </c>
      <c r="O139" s="5">
        <v>3</v>
      </c>
      <c r="P139" s="5">
        <v>0</v>
      </c>
      <c r="Q139" s="5">
        <v>1</v>
      </c>
      <c r="R139" s="5">
        <v>1</v>
      </c>
      <c r="S139" s="5">
        <v>13</v>
      </c>
      <c r="T139">
        <v>6</v>
      </c>
      <c r="U139">
        <v>3</v>
      </c>
      <c r="V139">
        <v>0</v>
      </c>
      <c r="W139">
        <v>1</v>
      </c>
      <c r="X139" t="s">
        <v>34</v>
      </c>
      <c r="Y139">
        <v>2</v>
      </c>
      <c r="Z139" t="s">
        <v>37</v>
      </c>
      <c r="AA139">
        <v>19.43</v>
      </c>
      <c r="AB139">
        <v>7.13</v>
      </c>
      <c r="AC139">
        <v>96.83</v>
      </c>
    </row>
    <row r="140" spans="1:30">
      <c r="A140" s="1" t="s">
        <v>362</v>
      </c>
      <c r="B140" t="s">
        <v>363</v>
      </c>
      <c r="C140" s="6">
        <v>52</v>
      </c>
      <c r="D140">
        <v>0</v>
      </c>
      <c r="E140">
        <v>5.09</v>
      </c>
      <c r="F140">
        <v>1</v>
      </c>
      <c r="G140">
        <v>159</v>
      </c>
      <c r="H140" s="2">
        <v>64</v>
      </c>
      <c r="I140" s="3">
        <f t="shared" si="3"/>
        <v>25.3154542937384</v>
      </c>
      <c r="J140" s="5">
        <v>0</v>
      </c>
      <c r="K140" s="5">
        <v>1</v>
      </c>
      <c r="L140" s="5">
        <v>1</v>
      </c>
      <c r="M140" s="5">
        <v>0</v>
      </c>
      <c r="N140">
        <v>1</v>
      </c>
      <c r="O140" s="5">
        <v>4</v>
      </c>
      <c r="P140" s="5">
        <v>2</v>
      </c>
      <c r="Q140" s="5">
        <v>1</v>
      </c>
      <c r="R140" s="5">
        <v>1</v>
      </c>
      <c r="S140" s="5">
        <v>15</v>
      </c>
      <c r="T140">
        <v>7</v>
      </c>
      <c r="U140">
        <v>3</v>
      </c>
      <c r="V140">
        <v>1</v>
      </c>
      <c r="W140">
        <v>0</v>
      </c>
      <c r="X140" t="s">
        <v>33</v>
      </c>
      <c r="Y140">
        <v>2</v>
      </c>
      <c r="Z140" t="s">
        <v>37</v>
      </c>
      <c r="AA140">
        <v>19.51</v>
      </c>
      <c r="AB140">
        <v>11.89</v>
      </c>
      <c r="AC140">
        <v>147.37</v>
      </c>
    </row>
    <row r="141" spans="1:30">
      <c r="A141" s="1" t="s">
        <v>364</v>
      </c>
      <c r="B141" t="s">
        <v>365</v>
      </c>
      <c r="C141" s="6">
        <v>39</v>
      </c>
      <c r="D141">
        <v>0</v>
      </c>
      <c r="E141">
        <v>3.2</v>
      </c>
      <c r="F141">
        <v>1</v>
      </c>
      <c r="G141">
        <v>155</v>
      </c>
      <c r="H141" s="2">
        <v>60</v>
      </c>
      <c r="I141" s="3">
        <f t="shared" si="3"/>
        <v>24.9739854318418</v>
      </c>
      <c r="J141" s="5">
        <v>0</v>
      </c>
      <c r="K141" s="5">
        <v>0</v>
      </c>
      <c r="L141" s="5">
        <v>0</v>
      </c>
      <c r="M141" s="5">
        <v>0</v>
      </c>
      <c r="N141">
        <v>1</v>
      </c>
      <c r="O141" s="5">
        <v>5</v>
      </c>
      <c r="P141" s="5">
        <v>3</v>
      </c>
      <c r="Q141" s="5">
        <v>1</v>
      </c>
      <c r="R141" s="5">
        <v>1</v>
      </c>
      <c r="S141" s="5">
        <v>16</v>
      </c>
      <c r="T141">
        <v>5</v>
      </c>
      <c r="U141">
        <v>4</v>
      </c>
      <c r="V141">
        <v>1</v>
      </c>
      <c r="W141">
        <v>0</v>
      </c>
      <c r="X141" t="s">
        <v>48</v>
      </c>
      <c r="Y141">
        <v>3</v>
      </c>
      <c r="Z141" t="s">
        <v>37</v>
      </c>
      <c r="AA141">
        <v>16.15</v>
      </c>
      <c r="AB141">
        <v>5.39</v>
      </c>
      <c r="AC141">
        <v>80.5</v>
      </c>
    </row>
    <row r="142" spans="1:30">
      <c r="A142" s="1" t="s">
        <v>366</v>
      </c>
      <c r="B142" t="s">
        <v>367</v>
      </c>
      <c r="C142" s="6">
        <v>32</v>
      </c>
      <c r="D142">
        <v>0</v>
      </c>
      <c r="E142">
        <v>7.2</v>
      </c>
      <c r="F142">
        <v>1</v>
      </c>
      <c r="G142">
        <v>157</v>
      </c>
      <c r="H142" s="2">
        <v>57</v>
      </c>
      <c r="I142" s="3">
        <f t="shared" si="3"/>
        <v>23.1246703720232</v>
      </c>
      <c r="J142" s="5">
        <v>0</v>
      </c>
      <c r="K142" s="5">
        <v>0</v>
      </c>
      <c r="L142" s="5">
        <v>0</v>
      </c>
      <c r="M142" s="5">
        <v>0</v>
      </c>
      <c r="N142">
        <v>0</v>
      </c>
      <c r="O142" s="5">
        <v>5</v>
      </c>
      <c r="P142" s="5">
        <v>4</v>
      </c>
      <c r="Q142" s="5">
        <v>1</v>
      </c>
      <c r="R142" s="5">
        <v>1</v>
      </c>
      <c r="S142" s="5">
        <v>17</v>
      </c>
      <c r="T142">
        <v>4</v>
      </c>
      <c r="U142">
        <v>5</v>
      </c>
      <c r="V142">
        <v>0</v>
      </c>
      <c r="W142">
        <v>1</v>
      </c>
      <c r="X142" t="s">
        <v>33</v>
      </c>
      <c r="Y142">
        <v>3</v>
      </c>
      <c r="Z142" t="s">
        <v>37</v>
      </c>
      <c r="AA142">
        <v>18.3</v>
      </c>
      <c r="AB142">
        <v>12.08</v>
      </c>
      <c r="AC142">
        <v>137.41</v>
      </c>
    </row>
    <row r="143" spans="1:30">
      <c r="A143" s="1" t="s">
        <v>368</v>
      </c>
      <c r="B143" t="s">
        <v>369</v>
      </c>
      <c r="C143" s="6">
        <v>75</v>
      </c>
      <c r="D143">
        <v>0</v>
      </c>
      <c r="E143">
        <v>2.61</v>
      </c>
      <c r="F143">
        <v>1</v>
      </c>
      <c r="G143">
        <v>164</v>
      </c>
      <c r="H143" s="2">
        <v>68</v>
      </c>
      <c r="I143" s="3">
        <f t="shared" si="3"/>
        <v>25.2825698988697</v>
      </c>
      <c r="J143" s="5">
        <v>1</v>
      </c>
      <c r="K143" s="5">
        <v>1</v>
      </c>
      <c r="L143" s="5">
        <v>1</v>
      </c>
      <c r="M143" s="5">
        <v>0</v>
      </c>
      <c r="N143">
        <v>1</v>
      </c>
      <c r="O143" s="5">
        <v>5</v>
      </c>
      <c r="P143" s="5">
        <v>0</v>
      </c>
      <c r="Q143" s="5">
        <v>1</v>
      </c>
      <c r="R143" s="5">
        <v>1</v>
      </c>
      <c r="S143" s="5">
        <v>13</v>
      </c>
      <c r="T143">
        <v>5</v>
      </c>
      <c r="U143">
        <v>5</v>
      </c>
      <c r="V143">
        <v>0</v>
      </c>
      <c r="W143">
        <v>1</v>
      </c>
      <c r="X143" t="s">
        <v>48</v>
      </c>
      <c r="Y143">
        <v>2</v>
      </c>
      <c r="Z143" t="s">
        <v>37</v>
      </c>
      <c r="AA143">
        <v>18.59</v>
      </c>
      <c r="AB143">
        <v>5.56</v>
      </c>
      <c r="AC143">
        <v>92.41</v>
      </c>
      <c r="AD143" t="s">
        <v>370</v>
      </c>
    </row>
    <row r="144" spans="1:30">
      <c r="A144" s="1" t="s">
        <v>371</v>
      </c>
      <c r="B144" t="s">
        <v>372</v>
      </c>
      <c r="C144" s="6">
        <v>54</v>
      </c>
      <c r="D144">
        <v>0</v>
      </c>
      <c r="E144">
        <v>-1.92</v>
      </c>
      <c r="F144">
        <v>1</v>
      </c>
      <c r="G144">
        <v>160</v>
      </c>
      <c r="H144" s="2">
        <v>53</v>
      </c>
      <c r="I144" s="3">
        <f t="shared" si="3"/>
        <v>20.703125</v>
      </c>
      <c r="J144" s="5">
        <v>0</v>
      </c>
      <c r="K144" s="5">
        <v>0</v>
      </c>
      <c r="L144" s="5">
        <v>1</v>
      </c>
      <c r="M144" s="5">
        <v>0</v>
      </c>
      <c r="N144">
        <v>0</v>
      </c>
      <c r="O144" s="5">
        <v>0</v>
      </c>
      <c r="P144" s="5">
        <v>0</v>
      </c>
      <c r="Q144" s="5">
        <v>1</v>
      </c>
      <c r="R144" s="5">
        <v>1</v>
      </c>
      <c r="S144" s="5">
        <v>10</v>
      </c>
      <c r="T144">
        <v>4</v>
      </c>
      <c r="U144">
        <v>3</v>
      </c>
      <c r="V144">
        <v>0</v>
      </c>
      <c r="W144">
        <v>1</v>
      </c>
      <c r="X144" t="s">
        <v>33</v>
      </c>
      <c r="Y144">
        <v>2</v>
      </c>
      <c r="Z144" t="s">
        <v>34</v>
      </c>
      <c r="AA144">
        <v>14.16</v>
      </c>
      <c r="AB144">
        <v>11.77</v>
      </c>
      <c r="AC144">
        <v>169.08</v>
      </c>
    </row>
    <row r="145" spans="1:30">
      <c r="A145" s="1" t="s">
        <v>373</v>
      </c>
      <c r="B145" t="s">
        <v>374</v>
      </c>
      <c r="C145" s="6">
        <v>47</v>
      </c>
      <c r="D145">
        <v>1</v>
      </c>
      <c r="E145">
        <v>7.78</v>
      </c>
      <c r="F145">
        <v>1</v>
      </c>
      <c r="G145">
        <v>156</v>
      </c>
      <c r="H145" s="2">
        <v>61</v>
      </c>
      <c r="I145" s="3">
        <f t="shared" si="3"/>
        <v>25.0657462195924</v>
      </c>
      <c r="J145" s="5">
        <v>0</v>
      </c>
      <c r="K145" s="5">
        <v>0</v>
      </c>
      <c r="L145" s="5">
        <v>0</v>
      </c>
      <c r="M145" s="5">
        <v>0</v>
      </c>
      <c r="N145">
        <v>1</v>
      </c>
      <c r="O145" s="5">
        <v>0</v>
      </c>
      <c r="P145" s="5">
        <v>0</v>
      </c>
      <c r="Q145" s="5">
        <v>1</v>
      </c>
      <c r="R145" s="5">
        <v>1</v>
      </c>
      <c r="S145" s="5">
        <v>17</v>
      </c>
      <c r="T145">
        <v>5</v>
      </c>
      <c r="U145">
        <v>3</v>
      </c>
      <c r="V145">
        <v>0</v>
      </c>
      <c r="W145">
        <v>1</v>
      </c>
      <c r="X145" t="s">
        <v>48</v>
      </c>
      <c r="Y145">
        <v>2</v>
      </c>
      <c r="Z145" t="s">
        <v>37</v>
      </c>
      <c r="AA145">
        <v>13.45</v>
      </c>
      <c r="AB145">
        <v>7.82</v>
      </c>
      <c r="AC145">
        <v>43.53</v>
      </c>
    </row>
    <row r="146" spans="1:30">
      <c r="A146" s="1" t="s">
        <v>375</v>
      </c>
      <c r="B146" t="s">
        <v>376</v>
      </c>
      <c r="C146" s="6">
        <v>71</v>
      </c>
      <c r="D146">
        <v>0</v>
      </c>
      <c r="E146">
        <v>-1.03</v>
      </c>
      <c r="F146">
        <v>1</v>
      </c>
      <c r="G146">
        <v>158</v>
      </c>
      <c r="H146" s="2">
        <v>59</v>
      </c>
      <c r="I146" s="3">
        <f t="shared" si="3"/>
        <v>23.6340330075308</v>
      </c>
      <c r="J146" s="8">
        <v>1</v>
      </c>
      <c r="K146" s="8">
        <v>1</v>
      </c>
      <c r="L146" s="8">
        <v>0</v>
      </c>
      <c r="M146" s="8">
        <v>1</v>
      </c>
      <c r="N146">
        <v>0</v>
      </c>
      <c r="O146" s="5">
        <v>5</v>
      </c>
      <c r="P146" s="5">
        <v>0</v>
      </c>
      <c r="Q146" s="5">
        <v>1</v>
      </c>
      <c r="R146" s="5">
        <v>1</v>
      </c>
      <c r="S146" s="5">
        <v>12</v>
      </c>
      <c r="T146">
        <v>5</v>
      </c>
      <c r="U146">
        <v>4</v>
      </c>
      <c r="V146">
        <v>1</v>
      </c>
      <c r="W146">
        <v>0</v>
      </c>
      <c r="X146" t="s">
        <v>34</v>
      </c>
      <c r="Y146">
        <v>2</v>
      </c>
      <c r="Z146" t="s">
        <v>37</v>
      </c>
      <c r="AA146">
        <v>17.07</v>
      </c>
      <c r="AB146">
        <v>11.68</v>
      </c>
      <c r="AC146">
        <v>118.47</v>
      </c>
    </row>
    <row r="147" spans="1:30">
      <c r="A147" s="1" t="s">
        <v>377</v>
      </c>
      <c r="B147" t="s">
        <v>378</v>
      </c>
      <c r="C147" s="6">
        <v>67</v>
      </c>
      <c r="D147">
        <v>0</v>
      </c>
      <c r="E147">
        <v>6.67</v>
      </c>
      <c r="F147">
        <v>1</v>
      </c>
      <c r="G147">
        <v>167</v>
      </c>
      <c r="H147" s="2">
        <v>63</v>
      </c>
      <c r="I147" s="3">
        <f t="shared" si="3"/>
        <v>22.5895514360501</v>
      </c>
      <c r="J147" s="5">
        <v>0</v>
      </c>
      <c r="K147" s="5">
        <v>0</v>
      </c>
      <c r="L147" s="5">
        <v>0</v>
      </c>
      <c r="M147" s="5">
        <v>0</v>
      </c>
      <c r="N147">
        <v>0</v>
      </c>
      <c r="O147" s="5">
        <v>5</v>
      </c>
      <c r="P147" s="5">
        <v>3</v>
      </c>
      <c r="Q147" s="5">
        <v>1</v>
      </c>
      <c r="R147" s="5">
        <v>1</v>
      </c>
      <c r="S147" s="5">
        <v>18</v>
      </c>
      <c r="T147">
        <v>5</v>
      </c>
      <c r="U147">
        <v>3</v>
      </c>
      <c r="V147">
        <v>0</v>
      </c>
      <c r="W147">
        <v>0</v>
      </c>
      <c r="X147" t="s">
        <v>48</v>
      </c>
      <c r="Y147">
        <v>2</v>
      </c>
      <c r="Z147" t="s">
        <v>37</v>
      </c>
      <c r="AA147">
        <v>18.25</v>
      </c>
      <c r="AB147">
        <v>9.84</v>
      </c>
      <c r="AC147">
        <v>77.1</v>
      </c>
    </row>
    <row r="148" spans="1:30">
      <c r="A148" s="1" t="s">
        <v>379</v>
      </c>
      <c r="B148" t="s">
        <v>380</v>
      </c>
      <c r="C148" s="6">
        <v>54</v>
      </c>
      <c r="D148">
        <v>0</v>
      </c>
      <c r="E148">
        <v>4.59</v>
      </c>
      <c r="F148">
        <v>1</v>
      </c>
      <c r="G148">
        <v>163</v>
      </c>
      <c r="H148" s="2">
        <v>56</v>
      </c>
      <c r="I148" s="3">
        <f t="shared" si="3"/>
        <v>21.0771952275208</v>
      </c>
      <c r="J148" s="5">
        <v>0</v>
      </c>
      <c r="K148" s="5">
        <v>0</v>
      </c>
      <c r="L148" s="5">
        <v>1</v>
      </c>
      <c r="M148" s="5">
        <v>1</v>
      </c>
      <c r="N148">
        <v>0</v>
      </c>
      <c r="O148" s="5">
        <v>5</v>
      </c>
      <c r="P148" s="5">
        <v>0</v>
      </c>
      <c r="Q148" s="5">
        <v>1</v>
      </c>
      <c r="R148" s="5">
        <v>1</v>
      </c>
      <c r="S148" s="5">
        <v>8</v>
      </c>
      <c r="T148">
        <v>6</v>
      </c>
      <c r="U148">
        <v>4</v>
      </c>
      <c r="V148">
        <v>0</v>
      </c>
      <c r="W148">
        <v>0</v>
      </c>
      <c r="X148" t="s">
        <v>48</v>
      </c>
      <c r="Y148">
        <v>2</v>
      </c>
      <c r="Z148" t="s">
        <v>37</v>
      </c>
      <c r="AA148">
        <v>16.52</v>
      </c>
      <c r="AB148">
        <v>7.38</v>
      </c>
      <c r="AC148">
        <v>57.66</v>
      </c>
    </row>
    <row r="149" spans="1:30">
      <c r="A149" s="1" t="s">
        <v>381</v>
      </c>
      <c r="B149" t="s">
        <v>382</v>
      </c>
      <c r="C149" s="6">
        <v>45</v>
      </c>
      <c r="D149">
        <v>0</v>
      </c>
      <c r="E149">
        <v>7.14</v>
      </c>
      <c r="F149">
        <v>1</v>
      </c>
      <c r="G149">
        <v>158</v>
      </c>
      <c r="H149" s="2">
        <v>65</v>
      </c>
      <c r="I149" s="3">
        <f t="shared" si="3"/>
        <v>26.0374939913475</v>
      </c>
      <c r="J149" s="5">
        <v>0</v>
      </c>
      <c r="K149" s="5">
        <v>0</v>
      </c>
      <c r="L149" s="5">
        <v>0</v>
      </c>
      <c r="M149" s="5">
        <v>0</v>
      </c>
      <c r="N149">
        <v>1</v>
      </c>
      <c r="O149" s="5">
        <v>3</v>
      </c>
      <c r="P149" s="5">
        <v>4</v>
      </c>
      <c r="Q149" s="5">
        <v>1</v>
      </c>
      <c r="R149" s="5">
        <v>0</v>
      </c>
      <c r="S149" s="5">
        <v>13</v>
      </c>
      <c r="T149">
        <v>5</v>
      </c>
      <c r="U149">
        <v>5</v>
      </c>
      <c r="V149">
        <v>0</v>
      </c>
      <c r="W149">
        <v>1</v>
      </c>
      <c r="X149" t="s">
        <v>48</v>
      </c>
      <c r="Y149">
        <v>3</v>
      </c>
      <c r="Z149" t="s">
        <v>37</v>
      </c>
      <c r="AA149">
        <v>18.81</v>
      </c>
      <c r="AB149">
        <v>5.12</v>
      </c>
      <c r="AC149">
        <v>98.45</v>
      </c>
    </row>
    <row r="150" spans="1:30">
      <c r="A150" s="1" t="s">
        <v>383</v>
      </c>
      <c r="B150" t="s">
        <v>384</v>
      </c>
      <c r="C150" s="6">
        <v>83</v>
      </c>
      <c r="D150">
        <v>0</v>
      </c>
      <c r="E150">
        <v>4.94</v>
      </c>
      <c r="F150">
        <v>1</v>
      </c>
      <c r="G150">
        <v>154</v>
      </c>
      <c r="H150" s="2">
        <v>60</v>
      </c>
      <c r="I150" s="3">
        <f t="shared" si="3"/>
        <v>25.2993759487266</v>
      </c>
      <c r="J150" s="5">
        <v>0</v>
      </c>
      <c r="K150" s="5">
        <v>0</v>
      </c>
      <c r="L150" s="5">
        <v>0</v>
      </c>
      <c r="M150" s="5">
        <v>0</v>
      </c>
      <c r="N150">
        <v>0</v>
      </c>
      <c r="O150" s="5">
        <v>3</v>
      </c>
      <c r="P150" s="5">
        <v>5</v>
      </c>
      <c r="Q150" s="5">
        <v>1</v>
      </c>
      <c r="R150" s="5">
        <v>1</v>
      </c>
      <c r="S150" s="5">
        <v>16</v>
      </c>
      <c r="T150">
        <v>5</v>
      </c>
      <c r="U150">
        <v>4</v>
      </c>
      <c r="V150">
        <v>1</v>
      </c>
      <c r="W150">
        <v>0</v>
      </c>
      <c r="X150" t="s">
        <v>51</v>
      </c>
      <c r="Y150">
        <v>2</v>
      </c>
      <c r="Z150" t="s">
        <v>37</v>
      </c>
      <c r="AA150">
        <v>11.12</v>
      </c>
      <c r="AB150">
        <v>7.19</v>
      </c>
      <c r="AC150">
        <v>26.95</v>
      </c>
    </row>
    <row r="151" spans="1:30">
      <c r="A151" s="1" t="s">
        <v>385</v>
      </c>
      <c r="B151" t="s">
        <v>386</v>
      </c>
      <c r="C151" s="6">
        <v>69</v>
      </c>
      <c r="D151">
        <v>1</v>
      </c>
      <c r="E151">
        <v>5.06</v>
      </c>
      <c r="F151">
        <v>1</v>
      </c>
      <c r="G151">
        <v>161</v>
      </c>
      <c r="H151" s="2">
        <v>58</v>
      </c>
      <c r="I151" s="3">
        <f t="shared" si="3"/>
        <v>22.3756799506192</v>
      </c>
      <c r="J151" s="5">
        <v>0</v>
      </c>
      <c r="K151" s="5">
        <v>1</v>
      </c>
      <c r="L151" s="5">
        <v>1</v>
      </c>
      <c r="M151" s="5">
        <v>1</v>
      </c>
      <c r="N151">
        <v>0</v>
      </c>
      <c r="O151" s="5">
        <v>5</v>
      </c>
      <c r="P151" s="5">
        <v>0</v>
      </c>
      <c r="Q151" s="5">
        <v>1</v>
      </c>
      <c r="R151" s="5">
        <v>1</v>
      </c>
      <c r="S151" s="5">
        <v>17</v>
      </c>
      <c r="T151">
        <v>4</v>
      </c>
      <c r="U151">
        <v>4</v>
      </c>
      <c r="V151">
        <v>1</v>
      </c>
      <c r="W151">
        <v>0</v>
      </c>
      <c r="X151" t="s">
        <v>34</v>
      </c>
      <c r="Y151">
        <v>2</v>
      </c>
      <c r="Z151" t="s">
        <v>37</v>
      </c>
      <c r="AA151">
        <v>12.97</v>
      </c>
      <c r="AB151">
        <v>6.42</v>
      </c>
      <c r="AC151">
        <v>73.54</v>
      </c>
    </row>
    <row r="152" spans="1:30">
      <c r="A152" s="1" t="s">
        <v>387</v>
      </c>
      <c r="B152" t="s">
        <v>388</v>
      </c>
      <c r="C152" s="6">
        <v>56</v>
      </c>
      <c r="D152">
        <v>0</v>
      </c>
      <c r="E152">
        <v>8.07</v>
      </c>
      <c r="F152">
        <v>1</v>
      </c>
      <c r="G152">
        <v>159</v>
      </c>
      <c r="H152" s="2">
        <v>62</v>
      </c>
      <c r="I152" s="3">
        <f t="shared" si="3"/>
        <v>24.5243463470591</v>
      </c>
      <c r="J152" s="5">
        <v>0</v>
      </c>
      <c r="K152" s="5">
        <v>0</v>
      </c>
      <c r="L152" s="5">
        <v>0</v>
      </c>
      <c r="M152" s="5">
        <v>0</v>
      </c>
      <c r="N152">
        <v>1</v>
      </c>
      <c r="O152" s="5">
        <v>5</v>
      </c>
      <c r="P152" s="5">
        <v>1</v>
      </c>
      <c r="Q152" s="5">
        <v>1</v>
      </c>
      <c r="R152" s="5">
        <v>1</v>
      </c>
      <c r="S152" s="5">
        <v>14</v>
      </c>
      <c r="T152">
        <v>5</v>
      </c>
      <c r="U152">
        <v>4</v>
      </c>
      <c r="V152">
        <v>1</v>
      </c>
      <c r="W152">
        <v>1</v>
      </c>
      <c r="X152" t="s">
        <v>34</v>
      </c>
      <c r="Y152">
        <v>2</v>
      </c>
      <c r="Z152" t="s">
        <v>37</v>
      </c>
      <c r="AA152">
        <v>17.98</v>
      </c>
      <c r="AB152">
        <v>10.69</v>
      </c>
      <c r="AC152">
        <v>143.15</v>
      </c>
    </row>
    <row r="153" spans="1:30">
      <c r="A153" s="1" t="s">
        <v>389</v>
      </c>
      <c r="B153" t="s">
        <v>390</v>
      </c>
      <c r="C153" s="6">
        <v>70</v>
      </c>
      <c r="D153">
        <v>1</v>
      </c>
      <c r="E153">
        <v>8.14</v>
      </c>
      <c r="F153">
        <v>1</v>
      </c>
      <c r="G153">
        <v>155</v>
      </c>
      <c r="H153" s="2">
        <v>67</v>
      </c>
      <c r="I153" s="3">
        <f t="shared" si="3"/>
        <v>27.8876170655567</v>
      </c>
      <c r="J153" s="5">
        <v>0</v>
      </c>
      <c r="K153" s="5">
        <v>0</v>
      </c>
      <c r="L153" s="5">
        <v>1</v>
      </c>
      <c r="M153" s="5">
        <v>0</v>
      </c>
      <c r="N153">
        <v>0</v>
      </c>
      <c r="O153" s="5">
        <v>5</v>
      </c>
      <c r="P153" s="5">
        <v>2</v>
      </c>
      <c r="Q153" s="5">
        <v>1</v>
      </c>
      <c r="R153" s="5">
        <v>1</v>
      </c>
      <c r="S153" s="5">
        <v>18</v>
      </c>
      <c r="T153">
        <v>5</v>
      </c>
      <c r="U153">
        <v>5</v>
      </c>
      <c r="V153">
        <v>0</v>
      </c>
      <c r="W153">
        <v>1</v>
      </c>
      <c r="X153" t="s">
        <v>34</v>
      </c>
      <c r="Y153">
        <v>2</v>
      </c>
      <c r="Z153" t="s">
        <v>37</v>
      </c>
      <c r="AA153">
        <v>17.67</v>
      </c>
      <c r="AB153">
        <v>9.86</v>
      </c>
      <c r="AC153">
        <v>113.53</v>
      </c>
    </row>
    <row r="154" spans="1:30">
      <c r="A154" s="1" t="s">
        <v>391</v>
      </c>
      <c r="B154" t="s">
        <v>392</v>
      </c>
      <c r="C154" s="6">
        <v>51</v>
      </c>
      <c r="D154">
        <v>0</v>
      </c>
      <c r="E154">
        <v>2.71</v>
      </c>
      <c r="F154">
        <v>1</v>
      </c>
      <c r="G154">
        <v>158</v>
      </c>
      <c r="H154" s="2">
        <v>55</v>
      </c>
      <c r="I154" s="3">
        <f t="shared" si="3"/>
        <v>22.0317256849864</v>
      </c>
      <c r="J154" s="5">
        <v>0</v>
      </c>
      <c r="K154" s="5">
        <v>0</v>
      </c>
      <c r="L154" s="5">
        <v>0</v>
      </c>
      <c r="M154" s="5">
        <v>0</v>
      </c>
      <c r="N154">
        <v>0</v>
      </c>
      <c r="O154" s="5">
        <v>5</v>
      </c>
      <c r="P154" s="5">
        <v>1</v>
      </c>
      <c r="Q154" s="5">
        <v>1</v>
      </c>
      <c r="R154" s="5">
        <v>1</v>
      </c>
      <c r="S154" s="5">
        <v>11</v>
      </c>
      <c r="T154">
        <v>5</v>
      </c>
      <c r="U154">
        <v>3</v>
      </c>
      <c r="V154">
        <v>0</v>
      </c>
      <c r="W154">
        <v>1</v>
      </c>
      <c r="X154" t="s">
        <v>33</v>
      </c>
      <c r="Y154">
        <v>3</v>
      </c>
      <c r="Z154" t="s">
        <v>37</v>
      </c>
      <c r="AA154">
        <v>18.31</v>
      </c>
      <c r="AB154">
        <v>8.34</v>
      </c>
      <c r="AC154">
        <v>117.75</v>
      </c>
    </row>
    <row r="155" spans="1:30">
      <c r="A155" s="1" t="s">
        <v>393</v>
      </c>
      <c r="B155" t="s">
        <v>394</v>
      </c>
      <c r="C155" s="6">
        <v>53</v>
      </c>
      <c r="D155">
        <v>0</v>
      </c>
      <c r="E155">
        <v>7.2</v>
      </c>
      <c r="F155">
        <v>1</v>
      </c>
      <c r="G155">
        <v>165</v>
      </c>
      <c r="H155" s="2">
        <v>59</v>
      </c>
      <c r="I155" s="3">
        <f t="shared" si="3"/>
        <v>21.6712580348944</v>
      </c>
      <c r="J155" s="5">
        <v>0</v>
      </c>
      <c r="K155" s="5">
        <v>0</v>
      </c>
      <c r="L155" s="5">
        <v>1</v>
      </c>
      <c r="M155" s="5">
        <v>0</v>
      </c>
      <c r="N155">
        <v>0</v>
      </c>
      <c r="O155" s="5">
        <v>2</v>
      </c>
      <c r="P155" s="5">
        <v>5</v>
      </c>
      <c r="Q155" s="5">
        <v>1</v>
      </c>
      <c r="R155" s="5">
        <v>1</v>
      </c>
      <c r="S155" s="5">
        <v>13</v>
      </c>
      <c r="T155">
        <v>6</v>
      </c>
      <c r="U155">
        <v>4</v>
      </c>
      <c r="V155">
        <v>1</v>
      </c>
      <c r="W155">
        <v>0</v>
      </c>
      <c r="X155" t="s">
        <v>51</v>
      </c>
      <c r="Y155">
        <v>2</v>
      </c>
      <c r="Z155" t="s">
        <v>37</v>
      </c>
      <c r="AA155">
        <v>15.34</v>
      </c>
      <c r="AB155">
        <v>6.96</v>
      </c>
      <c r="AC155">
        <v>16.18</v>
      </c>
      <c r="AD155" t="s">
        <v>395</v>
      </c>
    </row>
    <row r="156" spans="1:30">
      <c r="A156" s="1" t="s">
        <v>396</v>
      </c>
      <c r="B156" t="s">
        <v>397</v>
      </c>
      <c r="C156" s="6">
        <v>41</v>
      </c>
      <c r="D156">
        <v>1</v>
      </c>
      <c r="E156">
        <v>4.77</v>
      </c>
      <c r="F156">
        <v>1</v>
      </c>
      <c r="G156">
        <v>160</v>
      </c>
      <c r="H156" s="2">
        <v>61</v>
      </c>
      <c r="I156" s="3">
        <f t="shared" si="3"/>
        <v>23.828125</v>
      </c>
      <c r="J156" s="5">
        <v>0</v>
      </c>
      <c r="K156" s="5">
        <v>0</v>
      </c>
      <c r="L156" s="5">
        <v>1</v>
      </c>
      <c r="M156" s="5">
        <v>1</v>
      </c>
      <c r="N156">
        <v>1</v>
      </c>
      <c r="O156" s="5">
        <v>3</v>
      </c>
      <c r="P156" s="5">
        <v>0</v>
      </c>
      <c r="Q156" s="5">
        <v>1</v>
      </c>
      <c r="R156" s="5">
        <v>1</v>
      </c>
      <c r="S156" s="5">
        <v>15</v>
      </c>
      <c r="T156">
        <v>5</v>
      </c>
      <c r="U156">
        <v>4</v>
      </c>
      <c r="V156">
        <v>1</v>
      </c>
      <c r="W156">
        <v>0</v>
      </c>
      <c r="X156" t="s">
        <v>51</v>
      </c>
      <c r="Y156">
        <v>2</v>
      </c>
      <c r="Z156" t="s">
        <v>37</v>
      </c>
      <c r="AA156">
        <v>12.6</v>
      </c>
      <c r="AB156">
        <v>9.18</v>
      </c>
      <c r="AC156">
        <v>57.93</v>
      </c>
    </row>
    <row r="157" spans="1:30">
      <c r="A157" s="1" t="s">
        <v>398</v>
      </c>
      <c r="B157" t="s">
        <v>399</v>
      </c>
      <c r="C157" s="6">
        <v>78</v>
      </c>
      <c r="D157">
        <v>1</v>
      </c>
      <c r="E157">
        <v>8.52</v>
      </c>
      <c r="F157">
        <v>1</v>
      </c>
      <c r="G157">
        <v>157</v>
      </c>
      <c r="H157" s="2">
        <v>64</v>
      </c>
      <c r="I157" s="3">
        <f t="shared" si="3"/>
        <v>25.9645421720962</v>
      </c>
      <c r="J157" s="5">
        <v>1</v>
      </c>
      <c r="K157" s="5">
        <v>0</v>
      </c>
      <c r="L157" s="5">
        <v>0</v>
      </c>
      <c r="M157" s="5">
        <v>0</v>
      </c>
      <c r="N157">
        <v>1</v>
      </c>
      <c r="O157" s="5">
        <v>3</v>
      </c>
      <c r="P157" s="5">
        <v>5</v>
      </c>
      <c r="Q157" s="5">
        <v>1</v>
      </c>
      <c r="R157" s="5">
        <v>1</v>
      </c>
      <c r="S157" s="5">
        <v>10</v>
      </c>
      <c r="T157">
        <v>4</v>
      </c>
      <c r="U157">
        <v>5</v>
      </c>
      <c r="V157">
        <v>0</v>
      </c>
      <c r="W157">
        <v>1</v>
      </c>
      <c r="X157" t="s">
        <v>34</v>
      </c>
      <c r="Y157">
        <v>3</v>
      </c>
      <c r="Z157" t="s">
        <v>37</v>
      </c>
      <c r="AA157">
        <v>16.85</v>
      </c>
      <c r="AB157">
        <v>7.61</v>
      </c>
      <c r="AC157">
        <v>102</v>
      </c>
    </row>
    <row r="158" spans="1:30">
      <c r="A158" s="1" t="s">
        <v>400</v>
      </c>
      <c r="B158" t="s">
        <v>401</v>
      </c>
      <c r="C158" s="6">
        <v>47</v>
      </c>
      <c r="D158">
        <v>0</v>
      </c>
      <c r="E158">
        <v>6.67</v>
      </c>
      <c r="F158">
        <v>1</v>
      </c>
      <c r="G158">
        <v>162</v>
      </c>
      <c r="H158" s="2">
        <v>57</v>
      </c>
      <c r="I158" s="3">
        <f t="shared" si="3"/>
        <v>21.7192501143118</v>
      </c>
      <c r="J158" s="5">
        <v>1</v>
      </c>
      <c r="K158" s="5">
        <v>0</v>
      </c>
      <c r="L158" s="5">
        <v>0</v>
      </c>
      <c r="M158" s="5">
        <v>0</v>
      </c>
      <c r="N158">
        <v>0</v>
      </c>
      <c r="O158" s="5">
        <v>3</v>
      </c>
      <c r="P158" s="5">
        <v>3</v>
      </c>
      <c r="Q158" s="5">
        <v>1</v>
      </c>
      <c r="R158" s="5">
        <v>1</v>
      </c>
      <c r="S158" s="5">
        <v>16</v>
      </c>
      <c r="T158">
        <v>4</v>
      </c>
      <c r="U158">
        <v>3</v>
      </c>
      <c r="V158">
        <v>0</v>
      </c>
      <c r="W158">
        <v>0</v>
      </c>
      <c r="X158" t="s">
        <v>33</v>
      </c>
      <c r="Y158">
        <v>2</v>
      </c>
      <c r="Z158" t="s">
        <v>37</v>
      </c>
      <c r="AA158">
        <v>17.94</v>
      </c>
      <c r="AB158">
        <v>12.88</v>
      </c>
      <c r="AC158">
        <v>126.56</v>
      </c>
    </row>
    <row r="159" spans="1:30">
      <c r="A159" s="1" t="s">
        <v>402</v>
      </c>
      <c r="B159" t="s">
        <v>403</v>
      </c>
      <c r="C159" s="6">
        <v>73</v>
      </c>
      <c r="D159">
        <v>0</v>
      </c>
      <c r="E159">
        <v>3.07</v>
      </c>
      <c r="F159">
        <v>1</v>
      </c>
      <c r="G159">
        <v>159</v>
      </c>
      <c r="H159" s="2">
        <v>66</v>
      </c>
      <c r="I159" s="3">
        <f t="shared" si="3"/>
        <v>26.1065622404177</v>
      </c>
      <c r="J159" s="5">
        <v>1</v>
      </c>
      <c r="K159" s="5">
        <v>0</v>
      </c>
      <c r="L159" s="5">
        <v>0</v>
      </c>
      <c r="M159" s="5">
        <v>0</v>
      </c>
      <c r="N159">
        <v>1</v>
      </c>
      <c r="O159" s="5">
        <v>3</v>
      </c>
      <c r="P159" s="5">
        <v>4</v>
      </c>
      <c r="Q159" s="5">
        <v>1</v>
      </c>
      <c r="R159" s="5">
        <v>1</v>
      </c>
      <c r="S159" s="5">
        <v>13</v>
      </c>
      <c r="T159">
        <v>6</v>
      </c>
      <c r="U159">
        <v>4</v>
      </c>
      <c r="V159">
        <v>0</v>
      </c>
      <c r="W159">
        <v>0</v>
      </c>
      <c r="X159" t="s">
        <v>51</v>
      </c>
      <c r="Y159">
        <v>1</v>
      </c>
      <c r="Z159" t="s">
        <v>34</v>
      </c>
      <c r="AA159">
        <v>18.47</v>
      </c>
      <c r="AB159">
        <v>4.2</v>
      </c>
      <c r="AC159">
        <v>37.49</v>
      </c>
    </row>
    <row r="160" spans="1:30">
      <c r="A160" s="1" t="s">
        <v>404</v>
      </c>
      <c r="B160" t="s">
        <v>405</v>
      </c>
      <c r="C160" s="6">
        <v>73</v>
      </c>
      <c r="D160">
        <v>1</v>
      </c>
      <c r="E160">
        <v>5.08</v>
      </c>
      <c r="F160">
        <v>1</v>
      </c>
      <c r="G160">
        <v>153</v>
      </c>
      <c r="H160" s="2">
        <v>60</v>
      </c>
      <c r="I160" s="3">
        <f t="shared" si="3"/>
        <v>25.6311674996796</v>
      </c>
      <c r="J160" s="5">
        <v>0</v>
      </c>
      <c r="K160" s="5">
        <v>0</v>
      </c>
      <c r="L160">
        <v>0</v>
      </c>
      <c r="M160" s="5">
        <v>0</v>
      </c>
      <c r="N160">
        <v>1</v>
      </c>
      <c r="O160" s="5">
        <v>5</v>
      </c>
      <c r="P160" s="5">
        <v>3</v>
      </c>
      <c r="Q160" s="5">
        <v>1</v>
      </c>
      <c r="R160" s="5">
        <v>1</v>
      </c>
      <c r="S160" s="5">
        <v>11</v>
      </c>
      <c r="T160">
        <v>4</v>
      </c>
      <c r="U160">
        <v>3</v>
      </c>
      <c r="V160">
        <v>0</v>
      </c>
      <c r="W160">
        <v>1</v>
      </c>
      <c r="X160" t="s">
        <v>34</v>
      </c>
      <c r="Y160">
        <v>2</v>
      </c>
      <c r="Z160" t="s">
        <v>37</v>
      </c>
      <c r="AA160">
        <v>18.32</v>
      </c>
      <c r="AB160">
        <v>10.42</v>
      </c>
      <c r="AC160">
        <v>134.35</v>
      </c>
    </row>
    <row r="161" spans="1:30">
      <c r="A161" s="1" t="s">
        <v>406</v>
      </c>
      <c r="B161" t="s">
        <v>407</v>
      </c>
      <c r="C161" s="6">
        <v>41</v>
      </c>
      <c r="D161">
        <v>1</v>
      </c>
      <c r="E161">
        <v>3.63</v>
      </c>
      <c r="F161">
        <v>1</v>
      </c>
      <c r="G161">
        <v>160</v>
      </c>
      <c r="H161" s="2">
        <v>54</v>
      </c>
      <c r="I161" s="3">
        <f t="shared" si="3"/>
        <v>21.09375</v>
      </c>
      <c r="J161" s="5">
        <v>0</v>
      </c>
      <c r="K161" s="5">
        <v>0</v>
      </c>
      <c r="L161">
        <v>0</v>
      </c>
      <c r="M161" s="5">
        <v>1</v>
      </c>
      <c r="N161">
        <v>1</v>
      </c>
      <c r="O161" s="5">
        <v>3</v>
      </c>
      <c r="P161" s="5">
        <v>3</v>
      </c>
      <c r="Q161" s="5">
        <v>1</v>
      </c>
      <c r="R161" s="5">
        <v>1</v>
      </c>
      <c r="S161" s="5">
        <v>18</v>
      </c>
      <c r="T161">
        <v>4</v>
      </c>
      <c r="U161">
        <v>5</v>
      </c>
      <c r="V161">
        <v>1</v>
      </c>
      <c r="W161">
        <v>0</v>
      </c>
      <c r="X161" t="s">
        <v>48</v>
      </c>
      <c r="Y161">
        <v>2</v>
      </c>
      <c r="Z161" t="s">
        <v>37</v>
      </c>
      <c r="AA161">
        <v>20.52</v>
      </c>
      <c r="AB161">
        <v>10.6</v>
      </c>
      <c r="AC161">
        <v>63.99</v>
      </c>
    </row>
    <row r="162" spans="1:30">
      <c r="A162" s="1" t="s">
        <v>408</v>
      </c>
      <c r="B162" t="s">
        <v>409</v>
      </c>
      <c r="C162" s="6">
        <v>33</v>
      </c>
      <c r="D162">
        <v>1</v>
      </c>
      <c r="E162">
        <v>2.27</v>
      </c>
      <c r="F162">
        <v>1</v>
      </c>
      <c r="G162">
        <v>158</v>
      </c>
      <c r="H162" s="2">
        <v>69</v>
      </c>
      <c r="I162" s="3">
        <f t="shared" si="3"/>
        <v>27.639801313892</v>
      </c>
      <c r="J162" s="5">
        <v>0</v>
      </c>
      <c r="K162" s="5">
        <v>0</v>
      </c>
      <c r="L162">
        <v>0</v>
      </c>
      <c r="M162" s="5">
        <v>0</v>
      </c>
      <c r="N162">
        <v>1</v>
      </c>
      <c r="O162" s="5">
        <v>3</v>
      </c>
      <c r="P162" s="5">
        <v>2</v>
      </c>
      <c r="Q162" s="5">
        <v>1</v>
      </c>
      <c r="R162" s="5">
        <v>1</v>
      </c>
      <c r="S162" s="5">
        <v>16</v>
      </c>
      <c r="T162">
        <v>6</v>
      </c>
      <c r="U162">
        <v>4</v>
      </c>
      <c r="V162">
        <v>0</v>
      </c>
      <c r="W162">
        <v>1</v>
      </c>
      <c r="X162" t="s">
        <v>33</v>
      </c>
      <c r="Y162">
        <v>2</v>
      </c>
      <c r="Z162" t="s">
        <v>37</v>
      </c>
      <c r="AA162">
        <v>19.5</v>
      </c>
      <c r="AB162">
        <v>7.8</v>
      </c>
      <c r="AC162">
        <v>129.68</v>
      </c>
    </row>
    <row r="163" spans="1:30">
      <c r="A163" s="1" t="s">
        <v>410</v>
      </c>
      <c r="B163" t="s">
        <v>411</v>
      </c>
      <c r="C163" s="6">
        <v>46</v>
      </c>
      <c r="D163">
        <v>1</v>
      </c>
      <c r="E163">
        <v>5.54</v>
      </c>
      <c r="F163">
        <v>1</v>
      </c>
      <c r="G163">
        <v>155</v>
      </c>
      <c r="H163" s="2">
        <v>52</v>
      </c>
      <c r="I163" s="3">
        <f t="shared" si="3"/>
        <v>21.6441207075963</v>
      </c>
      <c r="J163" s="5">
        <v>0</v>
      </c>
      <c r="K163" s="5">
        <v>1</v>
      </c>
      <c r="L163">
        <v>1</v>
      </c>
      <c r="M163" s="5">
        <v>0</v>
      </c>
      <c r="N163">
        <v>1</v>
      </c>
      <c r="O163" s="5">
        <v>3</v>
      </c>
      <c r="P163" s="5">
        <v>4</v>
      </c>
      <c r="Q163" s="5">
        <v>1</v>
      </c>
      <c r="R163" s="5">
        <v>1</v>
      </c>
      <c r="S163" s="5">
        <v>14</v>
      </c>
      <c r="T163">
        <v>5</v>
      </c>
      <c r="U163">
        <v>4</v>
      </c>
      <c r="V163">
        <v>0</v>
      </c>
      <c r="W163">
        <v>0</v>
      </c>
      <c r="X163" t="s">
        <v>33</v>
      </c>
      <c r="Y163">
        <v>2</v>
      </c>
      <c r="Z163" t="s">
        <v>34</v>
      </c>
      <c r="AA163">
        <v>18.18</v>
      </c>
      <c r="AB163">
        <v>16.83</v>
      </c>
      <c r="AC163">
        <v>203.86</v>
      </c>
    </row>
    <row r="164" spans="1:30">
      <c r="A164" s="1" t="s">
        <v>412</v>
      </c>
      <c r="B164" t="s">
        <v>413</v>
      </c>
      <c r="C164" s="6">
        <v>42</v>
      </c>
      <c r="D164">
        <v>1</v>
      </c>
      <c r="E164">
        <v>3.69</v>
      </c>
      <c r="F164">
        <v>1</v>
      </c>
      <c r="G164">
        <v>161</v>
      </c>
      <c r="H164" s="2">
        <v>63</v>
      </c>
      <c r="I164" s="3">
        <f t="shared" si="3"/>
        <v>24.3046178773967</v>
      </c>
      <c r="J164" s="5">
        <v>0</v>
      </c>
      <c r="K164" s="5">
        <v>0</v>
      </c>
      <c r="L164">
        <v>0</v>
      </c>
      <c r="M164" s="5">
        <v>0</v>
      </c>
      <c r="N164">
        <v>1</v>
      </c>
      <c r="O164">
        <v>3</v>
      </c>
      <c r="P164">
        <v>1</v>
      </c>
      <c r="Q164">
        <v>1</v>
      </c>
      <c r="R164">
        <v>1</v>
      </c>
      <c r="S164">
        <v>14</v>
      </c>
      <c r="T164">
        <v>4</v>
      </c>
      <c r="U164">
        <v>5</v>
      </c>
      <c r="V164">
        <v>0</v>
      </c>
      <c r="W164">
        <v>0</v>
      </c>
      <c r="X164" t="s">
        <v>34</v>
      </c>
      <c r="Y164">
        <v>2</v>
      </c>
      <c r="Z164" t="s">
        <v>37</v>
      </c>
      <c r="AA164">
        <v>20.08</v>
      </c>
      <c r="AB164">
        <v>12.44</v>
      </c>
      <c r="AC164">
        <v>122.34</v>
      </c>
    </row>
    <row r="165" spans="1:30">
      <c r="A165" s="1" t="s">
        <v>414</v>
      </c>
      <c r="B165" t="s">
        <v>415</v>
      </c>
      <c r="C165" s="6">
        <v>46</v>
      </c>
      <c r="D165">
        <v>0</v>
      </c>
      <c r="E165">
        <v>-1.48</v>
      </c>
      <c r="F165">
        <v>1</v>
      </c>
      <c r="G165">
        <v>164</v>
      </c>
      <c r="H165" s="2">
        <v>58</v>
      </c>
      <c r="I165" s="3">
        <f t="shared" si="3"/>
        <v>21.5645449137418</v>
      </c>
      <c r="J165" s="5">
        <v>0</v>
      </c>
      <c r="K165" s="5">
        <v>0</v>
      </c>
      <c r="L165" s="5">
        <v>0</v>
      </c>
      <c r="M165" s="5">
        <v>0</v>
      </c>
      <c r="N165">
        <v>1</v>
      </c>
      <c r="O165">
        <v>5</v>
      </c>
      <c r="P165">
        <v>2</v>
      </c>
      <c r="Q165">
        <v>1</v>
      </c>
      <c r="R165">
        <v>1</v>
      </c>
      <c r="S165">
        <v>11</v>
      </c>
      <c r="T165">
        <v>2</v>
      </c>
      <c r="U165">
        <v>5</v>
      </c>
      <c r="V165">
        <v>1</v>
      </c>
      <c r="W165">
        <v>1</v>
      </c>
      <c r="X165" t="s">
        <v>48</v>
      </c>
      <c r="Y165">
        <v>2</v>
      </c>
      <c r="Z165" t="s">
        <v>37</v>
      </c>
      <c r="AA165">
        <v>18.99</v>
      </c>
      <c r="AB165">
        <v>11.58</v>
      </c>
      <c r="AC165">
        <v>100.51</v>
      </c>
      <c r="AD165" s="4" t="s">
        <v>416</v>
      </c>
    </row>
    <row r="166" spans="1:30">
      <c r="A166" s="1" t="s">
        <v>417</v>
      </c>
      <c r="B166" t="s">
        <v>418</v>
      </c>
      <c r="C166" s="6">
        <v>59</v>
      </c>
      <c r="D166">
        <v>0</v>
      </c>
      <c r="E166">
        <v>5.02</v>
      </c>
      <c r="F166">
        <v>1</v>
      </c>
      <c r="G166">
        <v>158</v>
      </c>
      <c r="H166" s="2">
        <v>62</v>
      </c>
      <c r="I166" s="3">
        <f t="shared" si="3"/>
        <v>24.8357634994392</v>
      </c>
      <c r="J166" s="5">
        <v>1</v>
      </c>
      <c r="K166" s="5">
        <v>0</v>
      </c>
      <c r="L166" s="5">
        <v>0</v>
      </c>
      <c r="M166" s="5">
        <v>0</v>
      </c>
      <c r="N166">
        <v>1</v>
      </c>
      <c r="O166">
        <v>2</v>
      </c>
      <c r="P166">
        <v>2</v>
      </c>
      <c r="Q166">
        <v>1</v>
      </c>
      <c r="R166">
        <v>0</v>
      </c>
      <c r="S166">
        <v>18</v>
      </c>
      <c r="T166">
        <v>3</v>
      </c>
      <c r="U166">
        <v>4</v>
      </c>
      <c r="V166">
        <v>1</v>
      </c>
      <c r="W166">
        <v>0</v>
      </c>
      <c r="X166" t="s">
        <v>34</v>
      </c>
      <c r="Y166">
        <v>2</v>
      </c>
      <c r="Z166" t="s">
        <v>37</v>
      </c>
      <c r="AA166">
        <v>14.07</v>
      </c>
      <c r="AB166">
        <v>8.96</v>
      </c>
      <c r="AC166">
        <v>86.47</v>
      </c>
    </row>
    <row r="167" spans="1:30">
      <c r="A167" s="1" t="s">
        <v>419</v>
      </c>
      <c r="B167" t="s">
        <v>420</v>
      </c>
      <c r="C167" s="6">
        <v>44</v>
      </c>
      <c r="D167">
        <v>0</v>
      </c>
      <c r="E167">
        <v>2.84</v>
      </c>
      <c r="F167">
        <v>1</v>
      </c>
      <c r="G167">
        <v>152</v>
      </c>
      <c r="H167" s="2">
        <v>65</v>
      </c>
      <c r="I167" s="3">
        <f t="shared" si="3"/>
        <v>28.1336565096953</v>
      </c>
      <c r="J167" s="5">
        <v>0</v>
      </c>
      <c r="K167" s="5">
        <v>0</v>
      </c>
      <c r="L167" s="5">
        <v>0</v>
      </c>
      <c r="M167" s="5">
        <v>0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13</v>
      </c>
      <c r="T167">
        <v>6</v>
      </c>
      <c r="U167">
        <v>3</v>
      </c>
      <c r="V167">
        <v>0</v>
      </c>
      <c r="W167">
        <v>1</v>
      </c>
      <c r="X167" t="s">
        <v>48</v>
      </c>
      <c r="Y167">
        <v>3</v>
      </c>
      <c r="Z167" t="s">
        <v>37</v>
      </c>
      <c r="AA167">
        <v>16.84</v>
      </c>
      <c r="AB167">
        <v>2.77</v>
      </c>
      <c r="AC167">
        <v>38.28</v>
      </c>
    </row>
    <row r="168" spans="1:30">
      <c r="A168" s="1" t="s">
        <v>421</v>
      </c>
      <c r="B168" t="s">
        <v>422</v>
      </c>
      <c r="C168" s="6">
        <v>31</v>
      </c>
      <c r="D168">
        <v>1</v>
      </c>
      <c r="E168">
        <v>2.9</v>
      </c>
      <c r="F168">
        <v>1</v>
      </c>
      <c r="G168">
        <v>160</v>
      </c>
      <c r="H168" s="2">
        <v>56</v>
      </c>
      <c r="I168" s="3">
        <f t="shared" si="3"/>
        <v>21.875</v>
      </c>
      <c r="J168" s="5">
        <v>0</v>
      </c>
      <c r="K168" s="5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13</v>
      </c>
      <c r="T168">
        <v>6</v>
      </c>
      <c r="U168">
        <v>4</v>
      </c>
      <c r="V168">
        <v>0</v>
      </c>
      <c r="W168">
        <v>0</v>
      </c>
      <c r="X168" t="s">
        <v>33</v>
      </c>
      <c r="Y168">
        <v>2</v>
      </c>
      <c r="Z168" t="s">
        <v>37</v>
      </c>
      <c r="AA168">
        <v>18.08</v>
      </c>
      <c r="AB168">
        <v>10.2</v>
      </c>
      <c r="AC168">
        <v>122.71</v>
      </c>
    </row>
    <row r="169" spans="1:30">
      <c r="A169" s="1" t="s">
        <v>423</v>
      </c>
      <c r="B169" t="s">
        <v>424</v>
      </c>
      <c r="C169" s="6">
        <v>45</v>
      </c>
      <c r="D169">
        <v>0</v>
      </c>
      <c r="E169">
        <v>-1.06</v>
      </c>
      <c r="F169">
        <v>1</v>
      </c>
      <c r="G169">
        <v>159</v>
      </c>
      <c r="H169" s="2">
        <v>60</v>
      </c>
      <c r="I169" s="3">
        <f t="shared" si="3"/>
        <v>23.7332384003797</v>
      </c>
      <c r="J169" s="5">
        <v>0</v>
      </c>
      <c r="K169" s="5">
        <v>0</v>
      </c>
      <c r="L169" s="5">
        <v>0</v>
      </c>
      <c r="M169" s="5">
        <v>0</v>
      </c>
      <c r="N169">
        <v>1</v>
      </c>
      <c r="O169">
        <v>3</v>
      </c>
      <c r="P169">
        <v>2</v>
      </c>
      <c r="Q169">
        <v>1</v>
      </c>
      <c r="R169">
        <v>1</v>
      </c>
      <c r="S169">
        <v>9</v>
      </c>
      <c r="T169">
        <v>5</v>
      </c>
      <c r="U169">
        <v>3</v>
      </c>
      <c r="V169">
        <v>1</v>
      </c>
      <c r="W169">
        <v>0</v>
      </c>
      <c r="X169" t="s">
        <v>48</v>
      </c>
      <c r="Y169">
        <v>2</v>
      </c>
      <c r="Z169" t="s">
        <v>37</v>
      </c>
      <c r="AA169">
        <v>14.52</v>
      </c>
      <c r="AB169">
        <v>1.4</v>
      </c>
      <c r="AC169">
        <v>77.84</v>
      </c>
      <c r="AD169" s="4" t="s">
        <v>425</v>
      </c>
    </row>
    <row r="170" spans="1:30">
      <c r="A170" s="1" t="s">
        <v>426</v>
      </c>
      <c r="B170" t="s">
        <v>427</v>
      </c>
      <c r="C170" s="6">
        <v>57</v>
      </c>
      <c r="D170">
        <v>0</v>
      </c>
      <c r="E170">
        <v>5.71</v>
      </c>
      <c r="F170">
        <v>1</v>
      </c>
      <c r="G170">
        <v>156</v>
      </c>
      <c r="H170" s="2">
        <v>67</v>
      </c>
      <c r="I170" s="3">
        <f t="shared" si="3"/>
        <v>27.5312294543064</v>
      </c>
      <c r="J170" s="5">
        <v>0</v>
      </c>
      <c r="K170" s="5">
        <v>0</v>
      </c>
      <c r="L170" s="5">
        <v>1</v>
      </c>
      <c r="M170" s="5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17</v>
      </c>
      <c r="T170">
        <v>7</v>
      </c>
      <c r="U170">
        <v>4</v>
      </c>
      <c r="V170">
        <v>1</v>
      </c>
      <c r="W170">
        <v>0</v>
      </c>
      <c r="X170" t="s">
        <v>33</v>
      </c>
      <c r="Y170">
        <v>2</v>
      </c>
      <c r="Z170" t="s">
        <v>37</v>
      </c>
      <c r="AA170">
        <v>19.47</v>
      </c>
      <c r="AB170">
        <v>7.82</v>
      </c>
      <c r="AC170">
        <v>66.19</v>
      </c>
    </row>
    <row r="171" spans="1:30">
      <c r="A171" s="1" t="s">
        <v>428</v>
      </c>
      <c r="B171" t="s">
        <v>429</v>
      </c>
      <c r="C171" s="6">
        <v>67</v>
      </c>
      <c r="D171">
        <v>0</v>
      </c>
      <c r="E171">
        <v>3.97</v>
      </c>
      <c r="F171">
        <v>1</v>
      </c>
      <c r="G171">
        <v>163</v>
      </c>
      <c r="H171" s="2">
        <v>59</v>
      </c>
      <c r="I171" s="3">
        <f t="shared" si="3"/>
        <v>22.206330686138</v>
      </c>
      <c r="J171" s="5">
        <v>0</v>
      </c>
      <c r="K171" s="5">
        <v>0</v>
      </c>
      <c r="L171" s="5">
        <v>1</v>
      </c>
      <c r="M171" s="5">
        <v>0</v>
      </c>
      <c r="N171">
        <v>0</v>
      </c>
      <c r="O171">
        <v>3</v>
      </c>
      <c r="P171">
        <v>3</v>
      </c>
      <c r="Q171">
        <v>1</v>
      </c>
      <c r="R171">
        <v>1</v>
      </c>
      <c r="S171">
        <v>13</v>
      </c>
      <c r="T171">
        <v>6</v>
      </c>
      <c r="U171">
        <v>4</v>
      </c>
      <c r="V171">
        <v>1</v>
      </c>
      <c r="W171">
        <v>1</v>
      </c>
      <c r="X171" t="s">
        <v>48</v>
      </c>
      <c r="Y171">
        <v>2</v>
      </c>
      <c r="Z171" t="s">
        <v>37</v>
      </c>
      <c r="AA171">
        <v>16.5</v>
      </c>
      <c r="AB171">
        <v>8.58</v>
      </c>
      <c r="AC171">
        <v>66.85</v>
      </c>
    </row>
    <row r="172" spans="1:30">
      <c r="A172" s="1" t="s">
        <v>430</v>
      </c>
      <c r="B172" t="s">
        <v>431</v>
      </c>
      <c r="C172" s="6">
        <v>73</v>
      </c>
      <c r="D172">
        <v>0</v>
      </c>
      <c r="E172">
        <v>6.62</v>
      </c>
      <c r="F172">
        <v>1</v>
      </c>
      <c r="G172">
        <v>158</v>
      </c>
      <c r="H172" s="2">
        <v>61</v>
      </c>
      <c r="I172" s="3">
        <f t="shared" si="3"/>
        <v>24.4351866688031</v>
      </c>
      <c r="J172" s="5">
        <v>1</v>
      </c>
      <c r="K172" s="5">
        <v>1</v>
      </c>
      <c r="L172" s="5">
        <v>0</v>
      </c>
      <c r="M172" s="5">
        <v>1</v>
      </c>
      <c r="N172">
        <v>1</v>
      </c>
      <c r="O172">
        <v>3</v>
      </c>
      <c r="P172">
        <v>3</v>
      </c>
      <c r="Q172">
        <v>1</v>
      </c>
      <c r="R172">
        <v>1</v>
      </c>
      <c r="S172">
        <v>15</v>
      </c>
      <c r="T172">
        <v>4</v>
      </c>
      <c r="U172">
        <v>4</v>
      </c>
      <c r="V172">
        <v>1</v>
      </c>
      <c r="W172">
        <v>0</v>
      </c>
      <c r="X172" t="s">
        <v>48</v>
      </c>
      <c r="Y172">
        <v>2</v>
      </c>
      <c r="Z172" t="s">
        <v>37</v>
      </c>
      <c r="AA172">
        <v>20.56</v>
      </c>
      <c r="AB172">
        <v>5.7</v>
      </c>
      <c r="AC172">
        <v>60.14</v>
      </c>
    </row>
    <row r="173" spans="1:30">
      <c r="A173" s="1" t="s">
        <v>432</v>
      </c>
      <c r="B173" t="s">
        <v>433</v>
      </c>
      <c r="C173" s="6">
        <v>69</v>
      </c>
      <c r="D173">
        <v>1</v>
      </c>
      <c r="E173">
        <v>3.04</v>
      </c>
      <c r="F173">
        <v>1</v>
      </c>
      <c r="G173">
        <v>154</v>
      </c>
      <c r="H173" s="2">
        <v>64</v>
      </c>
      <c r="I173" s="3">
        <f t="shared" si="3"/>
        <v>26.986001011975</v>
      </c>
      <c r="J173" s="5">
        <v>0</v>
      </c>
      <c r="K173" s="5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13</v>
      </c>
      <c r="T173">
        <v>3</v>
      </c>
      <c r="U173">
        <v>3</v>
      </c>
      <c r="V173">
        <v>0</v>
      </c>
      <c r="W173">
        <v>0</v>
      </c>
      <c r="X173" t="s">
        <v>34</v>
      </c>
      <c r="Y173">
        <v>3</v>
      </c>
      <c r="Z173" t="s">
        <v>37</v>
      </c>
      <c r="AA173">
        <v>15.46</v>
      </c>
      <c r="AB173">
        <v>7.56</v>
      </c>
      <c r="AC173">
        <v>80.24</v>
      </c>
    </row>
    <row r="174" spans="1:30">
      <c r="A174" s="1" t="s">
        <v>434</v>
      </c>
      <c r="B174" t="s">
        <v>435</v>
      </c>
      <c r="C174" s="6">
        <v>50</v>
      </c>
      <c r="D174">
        <v>0</v>
      </c>
      <c r="E174">
        <v>4.46</v>
      </c>
      <c r="F174">
        <v>1</v>
      </c>
      <c r="G174">
        <v>161</v>
      </c>
      <c r="H174" s="2">
        <v>55</v>
      </c>
      <c r="I174" s="3">
        <f t="shared" si="3"/>
        <v>21.2183171945527</v>
      </c>
      <c r="J174" s="5">
        <v>0</v>
      </c>
      <c r="K174" s="5">
        <v>1</v>
      </c>
      <c r="L174" s="5">
        <v>0</v>
      </c>
      <c r="M174" s="5">
        <v>0</v>
      </c>
      <c r="N174">
        <v>0</v>
      </c>
      <c r="O174">
        <v>4</v>
      </c>
      <c r="P174">
        <v>0</v>
      </c>
      <c r="Q174">
        <v>1</v>
      </c>
      <c r="R174">
        <v>1</v>
      </c>
      <c r="S174">
        <v>12</v>
      </c>
      <c r="T174">
        <v>6</v>
      </c>
      <c r="U174">
        <v>3</v>
      </c>
      <c r="V174">
        <v>0</v>
      </c>
      <c r="W174">
        <v>0</v>
      </c>
      <c r="X174" t="s">
        <v>34</v>
      </c>
      <c r="Y174">
        <v>2</v>
      </c>
      <c r="Z174" t="s">
        <v>34</v>
      </c>
      <c r="AA174">
        <v>15.56</v>
      </c>
      <c r="AB174">
        <v>12.46</v>
      </c>
      <c r="AC174">
        <v>107.37</v>
      </c>
    </row>
    <row r="175" spans="1:30">
      <c r="A175" s="1" t="s">
        <v>436</v>
      </c>
      <c r="B175" t="s">
        <v>437</v>
      </c>
      <c r="C175" s="6">
        <v>57</v>
      </c>
      <c r="D175">
        <v>0</v>
      </c>
      <c r="E175">
        <v>6.78</v>
      </c>
      <c r="F175">
        <v>1</v>
      </c>
      <c r="G175">
        <v>157</v>
      </c>
      <c r="H175" s="2">
        <v>68</v>
      </c>
      <c r="I175" s="3">
        <f t="shared" si="3"/>
        <v>27.5873260578522</v>
      </c>
      <c r="J175" s="5">
        <v>1</v>
      </c>
      <c r="K175" s="5">
        <v>1</v>
      </c>
      <c r="L175" s="5">
        <v>0</v>
      </c>
      <c r="M175" s="5">
        <v>0</v>
      </c>
      <c r="N175">
        <v>1</v>
      </c>
      <c r="O175">
        <v>3</v>
      </c>
      <c r="P175">
        <v>4</v>
      </c>
      <c r="Q175">
        <v>1</v>
      </c>
      <c r="R175">
        <v>1</v>
      </c>
      <c r="S175">
        <v>17</v>
      </c>
      <c r="T175">
        <v>6</v>
      </c>
      <c r="U175">
        <v>5</v>
      </c>
      <c r="V175">
        <v>0</v>
      </c>
      <c r="W175">
        <v>0</v>
      </c>
      <c r="X175" t="s">
        <v>48</v>
      </c>
      <c r="Y175">
        <v>2</v>
      </c>
      <c r="Z175" t="s">
        <v>37</v>
      </c>
      <c r="AA175">
        <v>20</v>
      </c>
      <c r="AB175">
        <v>10.03</v>
      </c>
      <c r="AC175">
        <v>127.72</v>
      </c>
    </row>
    <row r="176" spans="1:30">
      <c r="A176" s="1" t="s">
        <v>438</v>
      </c>
      <c r="B176" t="s">
        <v>439</v>
      </c>
      <c r="C176" s="6">
        <v>80</v>
      </c>
      <c r="D176">
        <v>1</v>
      </c>
      <c r="E176">
        <v>4.64</v>
      </c>
      <c r="F176">
        <v>1</v>
      </c>
      <c r="G176">
        <v>150</v>
      </c>
      <c r="H176" s="2">
        <v>57</v>
      </c>
      <c r="I176" s="3">
        <f t="shared" si="3"/>
        <v>25.3333333333333</v>
      </c>
      <c r="J176" s="5">
        <v>0</v>
      </c>
      <c r="K176" s="5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12</v>
      </c>
      <c r="T176">
        <v>4</v>
      </c>
      <c r="U176">
        <v>4</v>
      </c>
      <c r="V176">
        <v>0</v>
      </c>
      <c r="W176">
        <v>0</v>
      </c>
      <c r="X176" t="s">
        <v>48</v>
      </c>
      <c r="Y176">
        <v>3</v>
      </c>
      <c r="Z176" t="s">
        <v>37</v>
      </c>
      <c r="AA176">
        <v>21.52</v>
      </c>
      <c r="AB176">
        <v>7.63</v>
      </c>
      <c r="AC176">
        <v>103.67</v>
      </c>
    </row>
    <row r="177" spans="1:30">
      <c r="A177" s="1" t="s">
        <v>440</v>
      </c>
      <c r="B177" t="s">
        <v>441</v>
      </c>
      <c r="C177" s="6">
        <v>40</v>
      </c>
      <c r="D177">
        <v>0</v>
      </c>
      <c r="E177">
        <v>8.48</v>
      </c>
      <c r="F177">
        <v>1</v>
      </c>
      <c r="G177">
        <v>159</v>
      </c>
      <c r="H177" s="2">
        <v>62</v>
      </c>
      <c r="I177" s="3">
        <f t="shared" si="3"/>
        <v>24.5243463470591</v>
      </c>
      <c r="J177" s="5">
        <v>0</v>
      </c>
      <c r="K177" s="5">
        <v>0</v>
      </c>
      <c r="L177" s="5">
        <v>0</v>
      </c>
      <c r="M177" s="5">
        <v>0</v>
      </c>
      <c r="N177">
        <v>1</v>
      </c>
      <c r="O177">
        <v>4</v>
      </c>
      <c r="P177">
        <v>3</v>
      </c>
      <c r="Q177">
        <v>1</v>
      </c>
      <c r="R177">
        <v>1</v>
      </c>
      <c r="S177">
        <v>17</v>
      </c>
      <c r="T177">
        <v>6</v>
      </c>
      <c r="U177">
        <v>4</v>
      </c>
      <c r="V177">
        <v>0</v>
      </c>
      <c r="W177">
        <v>0</v>
      </c>
      <c r="X177" t="s">
        <v>51</v>
      </c>
      <c r="Y177">
        <v>2</v>
      </c>
      <c r="Z177" t="s">
        <v>37</v>
      </c>
      <c r="AA177">
        <v>16.69</v>
      </c>
      <c r="AB177">
        <v>4.69</v>
      </c>
      <c r="AC177">
        <v>17.25</v>
      </c>
    </row>
    <row r="178" spans="1:30">
      <c r="A178" s="1" t="s">
        <v>442</v>
      </c>
      <c r="B178" t="s">
        <v>443</v>
      </c>
      <c r="C178" s="6">
        <v>52</v>
      </c>
      <c r="D178">
        <v>1</v>
      </c>
      <c r="E178">
        <v>5.97</v>
      </c>
      <c r="F178">
        <v>1</v>
      </c>
      <c r="G178">
        <v>165</v>
      </c>
      <c r="H178" s="2">
        <v>60</v>
      </c>
      <c r="I178" s="3">
        <f t="shared" si="3"/>
        <v>22.038567493113</v>
      </c>
      <c r="J178" s="5">
        <v>0</v>
      </c>
      <c r="K178" s="5">
        <v>0</v>
      </c>
      <c r="L178">
        <v>0</v>
      </c>
      <c r="M178">
        <v>0</v>
      </c>
      <c r="N178">
        <v>1</v>
      </c>
      <c r="O178">
        <v>4</v>
      </c>
      <c r="P178">
        <v>3</v>
      </c>
      <c r="Q178">
        <v>1</v>
      </c>
      <c r="R178">
        <v>1</v>
      </c>
      <c r="S178">
        <v>16</v>
      </c>
      <c r="T178">
        <v>5</v>
      </c>
      <c r="U178">
        <v>4</v>
      </c>
      <c r="V178">
        <v>0</v>
      </c>
      <c r="W178">
        <v>0</v>
      </c>
      <c r="X178" t="s">
        <v>33</v>
      </c>
      <c r="Y178">
        <v>2</v>
      </c>
      <c r="Z178" t="s">
        <v>34</v>
      </c>
      <c r="AA178">
        <v>17.39</v>
      </c>
      <c r="AB178">
        <v>12.46</v>
      </c>
      <c r="AC178">
        <v>208.68</v>
      </c>
    </row>
    <row r="179" spans="1:30">
      <c r="A179" s="1" t="s">
        <v>444</v>
      </c>
      <c r="B179" t="s">
        <v>445</v>
      </c>
      <c r="C179" s="6">
        <v>45</v>
      </c>
      <c r="D179">
        <v>1</v>
      </c>
      <c r="E179">
        <v>6.21</v>
      </c>
      <c r="F179">
        <v>1</v>
      </c>
      <c r="G179">
        <v>160</v>
      </c>
      <c r="H179" s="2">
        <v>59</v>
      </c>
      <c r="I179" s="3">
        <f t="shared" si="3"/>
        <v>23.046875</v>
      </c>
      <c r="J179" s="5">
        <v>1</v>
      </c>
      <c r="K179" s="5">
        <v>1</v>
      </c>
      <c r="L179">
        <v>0</v>
      </c>
      <c r="M179">
        <v>1</v>
      </c>
      <c r="N179">
        <v>0</v>
      </c>
      <c r="O179">
        <v>2</v>
      </c>
      <c r="P179">
        <v>2</v>
      </c>
      <c r="Q179">
        <v>1</v>
      </c>
      <c r="R179">
        <v>1</v>
      </c>
      <c r="S179">
        <v>16</v>
      </c>
      <c r="T179">
        <v>5</v>
      </c>
      <c r="U179">
        <v>4</v>
      </c>
      <c r="V179">
        <v>0</v>
      </c>
      <c r="W179">
        <v>0</v>
      </c>
      <c r="X179" t="s">
        <v>34</v>
      </c>
      <c r="Y179">
        <v>2</v>
      </c>
      <c r="Z179" t="s">
        <v>37</v>
      </c>
      <c r="AA179">
        <v>16.68</v>
      </c>
      <c r="AB179">
        <v>5.12</v>
      </c>
      <c r="AC179">
        <v>95.07</v>
      </c>
    </row>
    <row r="180" spans="1:30">
      <c r="A180" s="1" t="s">
        <v>446</v>
      </c>
      <c r="B180" t="s">
        <v>447</v>
      </c>
      <c r="C180" s="6">
        <v>43</v>
      </c>
      <c r="D180">
        <v>0</v>
      </c>
      <c r="E180">
        <v>2.76</v>
      </c>
      <c r="F180">
        <v>1</v>
      </c>
      <c r="G180">
        <v>156</v>
      </c>
      <c r="H180" s="2">
        <v>63</v>
      </c>
      <c r="I180" s="3">
        <f t="shared" si="3"/>
        <v>25.887573964497</v>
      </c>
      <c r="J180" s="5">
        <v>1</v>
      </c>
      <c r="K180" s="5">
        <v>1</v>
      </c>
      <c r="L180" s="5">
        <v>0</v>
      </c>
      <c r="M180" s="5">
        <v>1</v>
      </c>
      <c r="N180">
        <v>1</v>
      </c>
      <c r="O180">
        <v>4</v>
      </c>
      <c r="P180">
        <v>3</v>
      </c>
      <c r="Q180">
        <v>1</v>
      </c>
      <c r="R180">
        <v>0</v>
      </c>
      <c r="S180">
        <v>19</v>
      </c>
      <c r="T180">
        <v>6</v>
      </c>
      <c r="U180">
        <v>3</v>
      </c>
      <c r="V180">
        <v>1</v>
      </c>
      <c r="W180">
        <v>0</v>
      </c>
      <c r="X180" t="s">
        <v>34</v>
      </c>
      <c r="Y180">
        <v>2</v>
      </c>
      <c r="Z180" t="s">
        <v>37</v>
      </c>
      <c r="AA180">
        <v>16.28</v>
      </c>
      <c r="AB180">
        <v>10.99</v>
      </c>
      <c r="AC180">
        <v>83.27</v>
      </c>
    </row>
    <row r="181" spans="1:30">
      <c r="A181" s="1" t="s">
        <v>448</v>
      </c>
      <c r="B181" t="s">
        <v>449</v>
      </c>
      <c r="C181" s="6">
        <v>39</v>
      </c>
      <c r="D181">
        <v>0</v>
      </c>
      <c r="E181">
        <v>4.67</v>
      </c>
      <c r="F181">
        <v>1</v>
      </c>
      <c r="G181">
        <v>162</v>
      </c>
      <c r="H181" s="2">
        <v>66</v>
      </c>
      <c r="I181" s="3">
        <f t="shared" si="3"/>
        <v>25.148605395519</v>
      </c>
      <c r="J181" s="5">
        <v>0</v>
      </c>
      <c r="K181" s="5">
        <v>0</v>
      </c>
      <c r="L181" s="5">
        <v>1</v>
      </c>
      <c r="M181" s="5">
        <v>0</v>
      </c>
      <c r="N181">
        <v>1</v>
      </c>
      <c r="O181" s="5">
        <v>3</v>
      </c>
      <c r="P181" s="5">
        <v>4</v>
      </c>
      <c r="Q181" s="5">
        <v>1</v>
      </c>
      <c r="R181" s="5">
        <v>1</v>
      </c>
      <c r="S181" s="5">
        <v>17</v>
      </c>
      <c r="T181">
        <v>6</v>
      </c>
      <c r="U181">
        <v>4</v>
      </c>
      <c r="V181">
        <v>0</v>
      </c>
      <c r="W181">
        <v>0</v>
      </c>
      <c r="X181" t="s">
        <v>33</v>
      </c>
      <c r="Y181">
        <v>2</v>
      </c>
      <c r="Z181" t="s">
        <v>34</v>
      </c>
      <c r="AA181">
        <v>20.24</v>
      </c>
      <c r="AB181">
        <v>13.87</v>
      </c>
      <c r="AC181">
        <v>166.45</v>
      </c>
      <c r="AD181" t="s">
        <v>450</v>
      </c>
    </row>
    <row r="182" spans="1:30">
      <c r="A182" s="1" t="s">
        <v>451</v>
      </c>
      <c r="B182" t="s">
        <v>452</v>
      </c>
      <c r="C182" s="6">
        <v>39</v>
      </c>
      <c r="D182">
        <v>0</v>
      </c>
      <c r="E182">
        <v>7.05</v>
      </c>
      <c r="F182">
        <v>1</v>
      </c>
      <c r="G182">
        <v>158</v>
      </c>
      <c r="H182" s="2">
        <v>58</v>
      </c>
      <c r="I182" s="3">
        <f t="shared" si="3"/>
        <v>23.2334561768947</v>
      </c>
      <c r="J182" s="5">
        <v>1</v>
      </c>
      <c r="K182" s="5">
        <v>0</v>
      </c>
      <c r="L182" s="5">
        <v>0</v>
      </c>
      <c r="M182" s="5">
        <v>0</v>
      </c>
      <c r="N182">
        <v>1</v>
      </c>
      <c r="O182" s="5">
        <v>2</v>
      </c>
      <c r="P182" s="5">
        <v>3</v>
      </c>
      <c r="Q182" s="5">
        <v>1</v>
      </c>
      <c r="R182" s="5">
        <v>1</v>
      </c>
      <c r="S182" s="5">
        <v>11</v>
      </c>
      <c r="T182">
        <v>5</v>
      </c>
      <c r="U182">
        <v>4</v>
      </c>
      <c r="V182">
        <v>0</v>
      </c>
      <c r="W182">
        <v>0</v>
      </c>
      <c r="X182" t="s">
        <v>48</v>
      </c>
      <c r="Y182">
        <v>2</v>
      </c>
      <c r="Z182" t="s">
        <v>37</v>
      </c>
      <c r="AA182">
        <v>10.48</v>
      </c>
      <c r="AB182">
        <v>5.51</v>
      </c>
      <c r="AC182">
        <v>33.28</v>
      </c>
    </row>
    <row r="183" spans="1:30">
      <c r="A183" s="1" t="s">
        <v>453</v>
      </c>
      <c r="B183" t="s">
        <v>454</v>
      </c>
      <c r="C183" s="6">
        <v>34</v>
      </c>
      <c r="D183">
        <v>0</v>
      </c>
      <c r="E183">
        <v>4.3</v>
      </c>
      <c r="F183">
        <v>1</v>
      </c>
      <c r="G183">
        <v>152</v>
      </c>
      <c r="H183" s="2">
        <v>61</v>
      </c>
      <c r="I183" s="3">
        <f t="shared" si="3"/>
        <v>26.4023545706371</v>
      </c>
      <c r="J183" s="5">
        <v>0</v>
      </c>
      <c r="K183" s="5">
        <v>0</v>
      </c>
      <c r="L183" s="5">
        <v>1</v>
      </c>
      <c r="M183" s="5">
        <v>0</v>
      </c>
      <c r="N183">
        <v>1</v>
      </c>
      <c r="O183" s="5">
        <v>3</v>
      </c>
      <c r="P183" s="5">
        <v>3</v>
      </c>
      <c r="Q183" s="5">
        <v>1</v>
      </c>
      <c r="R183" s="5">
        <v>0</v>
      </c>
      <c r="S183" s="5">
        <v>17</v>
      </c>
      <c r="T183">
        <v>5</v>
      </c>
      <c r="U183">
        <v>3</v>
      </c>
      <c r="V183">
        <v>1</v>
      </c>
      <c r="W183">
        <v>0</v>
      </c>
      <c r="X183" t="s">
        <v>51</v>
      </c>
      <c r="Y183">
        <v>2</v>
      </c>
      <c r="Z183" t="s">
        <v>37</v>
      </c>
      <c r="AA183">
        <v>12.99</v>
      </c>
      <c r="AB183">
        <v>3.42</v>
      </c>
      <c r="AC183">
        <v>25.64</v>
      </c>
    </row>
    <row r="184" spans="1:30">
      <c r="A184" s="1" t="s">
        <v>455</v>
      </c>
      <c r="B184" t="s">
        <v>456</v>
      </c>
      <c r="C184" s="6">
        <v>51</v>
      </c>
      <c r="D184">
        <v>1</v>
      </c>
      <c r="E184">
        <v>4.1</v>
      </c>
      <c r="F184">
        <v>1</v>
      </c>
      <c r="G184">
        <v>161</v>
      </c>
      <c r="H184" s="2">
        <v>65</v>
      </c>
      <c r="I184" s="3">
        <f t="shared" si="3"/>
        <v>25.0761930481077</v>
      </c>
      <c r="J184" s="5">
        <v>0</v>
      </c>
      <c r="K184" s="5">
        <v>0</v>
      </c>
      <c r="L184">
        <v>1</v>
      </c>
      <c r="M184">
        <v>0</v>
      </c>
      <c r="N184">
        <v>0</v>
      </c>
      <c r="O184" s="5">
        <v>3</v>
      </c>
      <c r="P184" s="5">
        <v>0</v>
      </c>
      <c r="Q184" s="5">
        <v>0</v>
      </c>
      <c r="R184" s="5">
        <v>0</v>
      </c>
      <c r="S184" s="5">
        <v>17</v>
      </c>
      <c r="T184">
        <v>5</v>
      </c>
      <c r="U184">
        <v>4</v>
      </c>
      <c r="V184">
        <v>0</v>
      </c>
      <c r="W184">
        <v>1</v>
      </c>
      <c r="X184" t="s">
        <v>33</v>
      </c>
      <c r="Y184">
        <v>2</v>
      </c>
      <c r="Z184" t="s">
        <v>37</v>
      </c>
      <c r="AA184">
        <v>18.31</v>
      </c>
      <c r="AB184">
        <v>12.64</v>
      </c>
      <c r="AC184">
        <v>140.78</v>
      </c>
    </row>
    <row r="185" spans="1:30">
      <c r="A185" s="1" t="s">
        <v>457</v>
      </c>
      <c r="B185" t="s">
        <v>458</v>
      </c>
      <c r="C185" s="6">
        <v>37</v>
      </c>
      <c r="D185">
        <v>1</v>
      </c>
      <c r="E185">
        <v>1.61</v>
      </c>
      <c r="F185">
        <v>1</v>
      </c>
      <c r="G185">
        <v>159</v>
      </c>
      <c r="H185" s="2">
        <v>54</v>
      </c>
      <c r="I185" s="3">
        <f t="shared" si="3"/>
        <v>21.3599145603418</v>
      </c>
      <c r="J185" s="5">
        <v>0</v>
      </c>
      <c r="K185" s="5">
        <v>0</v>
      </c>
      <c r="L185">
        <v>0</v>
      </c>
      <c r="M185">
        <v>0</v>
      </c>
      <c r="N185">
        <v>1</v>
      </c>
      <c r="O185" s="5">
        <v>0</v>
      </c>
      <c r="P185" s="5">
        <v>0</v>
      </c>
      <c r="Q185" s="5">
        <v>0</v>
      </c>
      <c r="R185" s="5">
        <v>1</v>
      </c>
      <c r="S185" s="5">
        <v>16</v>
      </c>
      <c r="T185">
        <v>4</v>
      </c>
      <c r="U185">
        <v>4</v>
      </c>
      <c r="V185">
        <v>0</v>
      </c>
      <c r="W185">
        <v>0</v>
      </c>
      <c r="X185" t="s">
        <v>48</v>
      </c>
      <c r="Y185">
        <v>3</v>
      </c>
      <c r="Z185" t="s">
        <v>37</v>
      </c>
      <c r="AA185">
        <v>18.34</v>
      </c>
      <c r="AB185">
        <v>9.31</v>
      </c>
      <c r="AC185">
        <v>74.73</v>
      </c>
    </row>
    <row r="186" spans="1:30">
      <c r="A186" s="1" t="s">
        <v>459</v>
      </c>
      <c r="B186" t="s">
        <v>460</v>
      </c>
      <c r="C186" s="6">
        <v>55</v>
      </c>
      <c r="D186">
        <v>0</v>
      </c>
      <c r="E186">
        <v>7.81</v>
      </c>
      <c r="F186">
        <v>1</v>
      </c>
      <c r="G186">
        <v>155</v>
      </c>
      <c r="H186" s="2">
        <v>70</v>
      </c>
      <c r="I186" s="3">
        <f t="shared" si="3"/>
        <v>29.1363163371488</v>
      </c>
      <c r="J186" s="5">
        <v>1</v>
      </c>
      <c r="K186" s="5">
        <v>1</v>
      </c>
      <c r="L186" s="5">
        <v>1</v>
      </c>
      <c r="M186" s="5">
        <v>0</v>
      </c>
      <c r="N186">
        <v>0</v>
      </c>
      <c r="O186" s="5">
        <v>4</v>
      </c>
      <c r="P186" s="5">
        <v>0</v>
      </c>
      <c r="Q186" s="5">
        <v>0</v>
      </c>
      <c r="R186" s="5">
        <v>1</v>
      </c>
      <c r="S186" s="5">
        <v>18</v>
      </c>
      <c r="T186">
        <v>6</v>
      </c>
      <c r="U186">
        <v>4</v>
      </c>
      <c r="V186">
        <v>1</v>
      </c>
      <c r="W186">
        <v>0</v>
      </c>
      <c r="X186" t="s">
        <v>48</v>
      </c>
      <c r="Y186">
        <v>2</v>
      </c>
      <c r="Z186" t="s">
        <v>37</v>
      </c>
      <c r="AA186">
        <v>17.74</v>
      </c>
      <c r="AB186">
        <v>7.33</v>
      </c>
      <c r="AC186">
        <v>88.22</v>
      </c>
    </row>
    <row r="187" spans="1:30">
      <c r="A187" s="1" t="s">
        <v>461</v>
      </c>
      <c r="B187" t="s">
        <v>462</v>
      </c>
      <c r="C187" s="6">
        <v>70</v>
      </c>
      <c r="D187">
        <v>1</v>
      </c>
      <c r="E187">
        <v>4.39</v>
      </c>
      <c r="F187">
        <v>1</v>
      </c>
      <c r="G187">
        <v>158</v>
      </c>
      <c r="H187" s="2">
        <v>60</v>
      </c>
      <c r="I187" s="3">
        <f t="shared" si="3"/>
        <v>24.034609838167</v>
      </c>
      <c r="J187" s="5">
        <v>0</v>
      </c>
      <c r="K187" s="5">
        <v>0</v>
      </c>
      <c r="L187" s="5">
        <v>0</v>
      </c>
      <c r="M187">
        <v>0</v>
      </c>
      <c r="N187">
        <v>1</v>
      </c>
      <c r="O187" s="5">
        <v>5</v>
      </c>
      <c r="P187" s="5">
        <v>2</v>
      </c>
      <c r="Q187" s="5">
        <v>1</v>
      </c>
      <c r="R187" s="5">
        <v>1</v>
      </c>
      <c r="S187" s="5">
        <v>12</v>
      </c>
      <c r="T187">
        <v>6</v>
      </c>
      <c r="U187">
        <v>4</v>
      </c>
      <c r="V187">
        <v>1</v>
      </c>
      <c r="W187">
        <v>1</v>
      </c>
      <c r="X187" t="s">
        <v>48</v>
      </c>
      <c r="Y187">
        <v>2</v>
      </c>
      <c r="Z187" t="s">
        <v>37</v>
      </c>
      <c r="AA187">
        <v>15.96</v>
      </c>
      <c r="AB187">
        <v>6.96</v>
      </c>
      <c r="AC187">
        <v>116.85</v>
      </c>
    </row>
    <row r="188" spans="1:30">
      <c r="A188" s="1" t="s">
        <v>463</v>
      </c>
      <c r="B188" t="s">
        <v>464</v>
      </c>
      <c r="C188" s="6">
        <v>82</v>
      </c>
      <c r="D188">
        <v>1</v>
      </c>
      <c r="E188">
        <v>2.78</v>
      </c>
      <c r="F188">
        <v>1</v>
      </c>
      <c r="G188">
        <v>163</v>
      </c>
      <c r="H188" s="2">
        <v>57</v>
      </c>
      <c r="I188" s="3">
        <f t="shared" si="3"/>
        <v>21.4535737137265</v>
      </c>
      <c r="J188" s="5">
        <v>1</v>
      </c>
      <c r="K188" s="5">
        <v>1</v>
      </c>
      <c r="L188" s="5">
        <v>0</v>
      </c>
      <c r="M188">
        <v>0</v>
      </c>
      <c r="N188">
        <v>1</v>
      </c>
      <c r="O188" s="5">
        <v>3</v>
      </c>
      <c r="P188" s="5">
        <v>0</v>
      </c>
      <c r="Q188" s="5">
        <v>1</v>
      </c>
      <c r="R188" s="5">
        <v>1</v>
      </c>
      <c r="S188" s="5">
        <v>13</v>
      </c>
      <c r="T188">
        <v>7</v>
      </c>
      <c r="U188">
        <v>4</v>
      </c>
      <c r="V188">
        <v>0</v>
      </c>
      <c r="W188">
        <v>0</v>
      </c>
      <c r="X188" t="s">
        <v>48</v>
      </c>
      <c r="Y188">
        <v>2</v>
      </c>
      <c r="Z188" t="s">
        <v>37</v>
      </c>
      <c r="AA188">
        <v>16.81</v>
      </c>
      <c r="AB188">
        <v>8.08</v>
      </c>
      <c r="AC188">
        <v>75.44</v>
      </c>
    </row>
    <row r="189" spans="1:30">
      <c r="A189" s="1" t="s">
        <v>465</v>
      </c>
      <c r="B189" t="s">
        <v>466</v>
      </c>
      <c r="C189" s="6">
        <v>59</v>
      </c>
      <c r="D189">
        <v>1</v>
      </c>
      <c r="E189">
        <v>6.18</v>
      </c>
      <c r="F189">
        <v>1</v>
      </c>
      <c r="G189">
        <v>160</v>
      </c>
      <c r="H189" s="2">
        <v>64</v>
      </c>
      <c r="I189" s="3">
        <f t="shared" si="3"/>
        <v>25</v>
      </c>
      <c r="J189" s="5">
        <v>0</v>
      </c>
      <c r="K189" s="5">
        <v>0</v>
      </c>
      <c r="L189" s="5">
        <v>0</v>
      </c>
      <c r="M189">
        <v>0</v>
      </c>
      <c r="N189">
        <v>1</v>
      </c>
      <c r="O189" s="5">
        <v>4</v>
      </c>
      <c r="P189" s="5">
        <v>2</v>
      </c>
      <c r="Q189" s="5">
        <v>1</v>
      </c>
      <c r="R189" s="5">
        <v>1</v>
      </c>
      <c r="S189" s="5">
        <v>15</v>
      </c>
      <c r="T189">
        <v>5</v>
      </c>
      <c r="U189">
        <v>3</v>
      </c>
      <c r="V189">
        <v>0</v>
      </c>
      <c r="W189">
        <v>1</v>
      </c>
      <c r="X189" t="s">
        <v>34</v>
      </c>
      <c r="Y189">
        <v>2</v>
      </c>
      <c r="Z189" t="s">
        <v>34</v>
      </c>
      <c r="AA189">
        <v>14.54</v>
      </c>
      <c r="AB189">
        <v>10.1</v>
      </c>
      <c r="AC189">
        <v>100.53</v>
      </c>
    </row>
    <row r="190" spans="1:30">
      <c r="A190" s="1" t="s">
        <v>467</v>
      </c>
      <c r="B190" t="s">
        <v>468</v>
      </c>
      <c r="C190" s="6">
        <v>72</v>
      </c>
      <c r="D190">
        <v>0</v>
      </c>
      <c r="E190">
        <v>3.83</v>
      </c>
      <c r="F190">
        <v>1</v>
      </c>
      <c r="G190">
        <v>156</v>
      </c>
      <c r="H190" s="2">
        <v>59</v>
      </c>
      <c r="I190" s="3">
        <f t="shared" si="3"/>
        <v>24.2439184746877</v>
      </c>
      <c r="J190">
        <v>1</v>
      </c>
      <c r="K190">
        <v>1</v>
      </c>
      <c r="L190">
        <v>1</v>
      </c>
      <c r="M190">
        <v>0</v>
      </c>
      <c r="N190">
        <v>1</v>
      </c>
      <c r="O190" s="5">
        <v>5</v>
      </c>
      <c r="P190" s="5">
        <v>3</v>
      </c>
      <c r="Q190" s="5">
        <v>1</v>
      </c>
      <c r="R190" s="5">
        <v>1</v>
      </c>
      <c r="S190" s="5">
        <v>16</v>
      </c>
      <c r="T190">
        <v>4</v>
      </c>
      <c r="U190">
        <v>4</v>
      </c>
      <c r="V190">
        <v>0</v>
      </c>
      <c r="W190">
        <v>1</v>
      </c>
      <c r="X190" t="s">
        <v>33</v>
      </c>
      <c r="Y190">
        <v>2</v>
      </c>
      <c r="Z190" t="s">
        <v>37</v>
      </c>
      <c r="AA190">
        <v>20.23</v>
      </c>
      <c r="AB190">
        <v>8.99</v>
      </c>
      <c r="AC190">
        <v>141.06</v>
      </c>
    </row>
    <row r="191" spans="1:30">
      <c r="A191" s="1" t="s">
        <v>469</v>
      </c>
      <c r="B191" t="s">
        <v>470</v>
      </c>
      <c r="C191" s="6">
        <v>75</v>
      </c>
      <c r="D191">
        <v>0</v>
      </c>
      <c r="E191">
        <v>6.15</v>
      </c>
      <c r="F191">
        <v>1</v>
      </c>
      <c r="G191">
        <v>159</v>
      </c>
      <c r="H191" s="2">
        <v>62</v>
      </c>
      <c r="I191" s="3">
        <f t="shared" si="3"/>
        <v>24.5243463470591</v>
      </c>
      <c r="J191">
        <v>1</v>
      </c>
      <c r="K191">
        <v>1</v>
      </c>
      <c r="L191">
        <v>1</v>
      </c>
      <c r="M191">
        <v>0</v>
      </c>
      <c r="N191">
        <v>0</v>
      </c>
      <c r="O191" s="5">
        <v>3</v>
      </c>
      <c r="P191" s="5">
        <v>3</v>
      </c>
      <c r="Q191" s="5">
        <v>1</v>
      </c>
      <c r="R191" s="5">
        <v>1</v>
      </c>
      <c r="S191" s="5">
        <v>17</v>
      </c>
      <c r="T191">
        <v>5</v>
      </c>
      <c r="U191">
        <v>4</v>
      </c>
      <c r="V191">
        <v>0</v>
      </c>
      <c r="W191">
        <v>1</v>
      </c>
      <c r="X191" t="s">
        <v>33</v>
      </c>
      <c r="Y191">
        <v>2</v>
      </c>
      <c r="Z191" t="s">
        <v>37</v>
      </c>
      <c r="AA191">
        <v>16.99</v>
      </c>
      <c r="AB191">
        <v>9.48</v>
      </c>
      <c r="AC191">
        <v>96.48</v>
      </c>
    </row>
    <row r="192" spans="1:30">
      <c r="A192" s="1" t="s">
        <v>471</v>
      </c>
      <c r="B192" t="s">
        <v>472</v>
      </c>
      <c r="C192" s="6">
        <v>25</v>
      </c>
      <c r="D192">
        <v>1</v>
      </c>
      <c r="E192">
        <v>4.93</v>
      </c>
      <c r="F192">
        <v>1</v>
      </c>
      <c r="G192">
        <v>166</v>
      </c>
      <c r="H192" s="2">
        <v>67</v>
      </c>
      <c r="I192" s="3">
        <f t="shared" si="3"/>
        <v>24.3141239657425</v>
      </c>
      <c r="J192" s="5">
        <v>0</v>
      </c>
      <c r="K192" s="5">
        <v>0</v>
      </c>
      <c r="L192" s="5">
        <v>0</v>
      </c>
      <c r="M192">
        <v>0</v>
      </c>
      <c r="N192">
        <v>1</v>
      </c>
      <c r="O192" s="5">
        <v>5</v>
      </c>
      <c r="P192" s="5">
        <v>0</v>
      </c>
      <c r="Q192" s="5">
        <v>1</v>
      </c>
      <c r="R192" s="5">
        <v>1</v>
      </c>
      <c r="S192" s="5">
        <v>11</v>
      </c>
      <c r="T192">
        <v>4</v>
      </c>
      <c r="U192">
        <v>4</v>
      </c>
      <c r="V192">
        <v>1</v>
      </c>
      <c r="W192">
        <v>1</v>
      </c>
      <c r="X192" t="s">
        <v>48</v>
      </c>
      <c r="Y192">
        <v>3</v>
      </c>
      <c r="Z192" t="s">
        <v>37</v>
      </c>
      <c r="AA192">
        <v>17.53</v>
      </c>
      <c r="AB192">
        <v>6.16</v>
      </c>
      <c r="AC192">
        <v>86.99</v>
      </c>
      <c r="AD192" t="s">
        <v>473</v>
      </c>
    </row>
    <row r="193" spans="1:29">
      <c r="A193" s="1" t="s">
        <v>474</v>
      </c>
      <c r="B193" t="s">
        <v>475</v>
      </c>
      <c r="C193" s="6">
        <v>65</v>
      </c>
      <c r="D193">
        <v>0</v>
      </c>
      <c r="E193">
        <v>7.21</v>
      </c>
      <c r="F193">
        <v>0</v>
      </c>
      <c r="G193">
        <v>162</v>
      </c>
      <c r="H193" s="2">
        <v>55</v>
      </c>
      <c r="I193" s="3">
        <f t="shared" si="3"/>
        <v>20.9571711629325</v>
      </c>
      <c r="J193">
        <v>0</v>
      </c>
      <c r="K193">
        <v>0</v>
      </c>
      <c r="L193">
        <v>0</v>
      </c>
      <c r="M193">
        <v>0</v>
      </c>
      <c r="N193">
        <v>0</v>
      </c>
      <c r="O193" s="5">
        <v>5</v>
      </c>
      <c r="P193" s="5">
        <v>5</v>
      </c>
      <c r="Q193" s="5">
        <v>1</v>
      </c>
      <c r="R193" s="5">
        <v>1</v>
      </c>
      <c r="S193" s="5">
        <v>18</v>
      </c>
      <c r="T193">
        <v>6</v>
      </c>
      <c r="U193">
        <v>4</v>
      </c>
      <c r="V193">
        <v>1</v>
      </c>
      <c r="W193">
        <v>0</v>
      </c>
      <c r="X193" t="s">
        <v>48</v>
      </c>
      <c r="Y193">
        <v>2</v>
      </c>
      <c r="Z193" t="s">
        <v>37</v>
      </c>
      <c r="AA193">
        <v>16.14</v>
      </c>
      <c r="AB193">
        <v>6.08</v>
      </c>
      <c r="AC193">
        <v>71.88</v>
      </c>
    </row>
    <row r="194" spans="1:29">
      <c r="A194" s="1" t="s">
        <v>476</v>
      </c>
      <c r="B194" t="s">
        <v>477</v>
      </c>
      <c r="C194" s="6">
        <v>46</v>
      </c>
      <c r="D194">
        <v>1</v>
      </c>
      <c r="E194">
        <v>7.94</v>
      </c>
      <c r="F194">
        <v>0</v>
      </c>
      <c r="G194">
        <v>157</v>
      </c>
      <c r="H194" s="2">
        <v>63</v>
      </c>
      <c r="I194" s="3">
        <f t="shared" si="3"/>
        <v>25.5588462006572</v>
      </c>
      <c r="J194" s="5">
        <v>0</v>
      </c>
      <c r="K194" s="5">
        <v>0</v>
      </c>
      <c r="L194" s="5">
        <v>1</v>
      </c>
      <c r="M194">
        <v>1</v>
      </c>
      <c r="N194">
        <v>0</v>
      </c>
      <c r="O194" s="5">
        <v>5</v>
      </c>
      <c r="P194" s="5">
        <v>5</v>
      </c>
      <c r="Q194" s="5">
        <v>1</v>
      </c>
      <c r="R194" s="5">
        <v>0</v>
      </c>
      <c r="S194" s="5">
        <v>20</v>
      </c>
      <c r="T194">
        <v>4</v>
      </c>
      <c r="U194">
        <v>3</v>
      </c>
      <c r="V194">
        <v>0</v>
      </c>
      <c r="W194">
        <v>0</v>
      </c>
      <c r="X194" t="s">
        <v>48</v>
      </c>
      <c r="Y194">
        <v>2</v>
      </c>
      <c r="Z194" t="s">
        <v>37</v>
      </c>
      <c r="AA194">
        <v>16.68</v>
      </c>
      <c r="AB194">
        <v>6.11</v>
      </c>
      <c r="AC194">
        <v>56.79</v>
      </c>
    </row>
    <row r="195" spans="1:29">
      <c r="A195" s="1" t="s">
        <v>478</v>
      </c>
      <c r="B195" t="s">
        <v>479</v>
      </c>
      <c r="C195" s="6">
        <v>52</v>
      </c>
      <c r="D195">
        <v>1</v>
      </c>
      <c r="E195">
        <v>1.09</v>
      </c>
      <c r="F195">
        <v>1</v>
      </c>
      <c r="G195">
        <v>153</v>
      </c>
      <c r="H195" s="2">
        <v>60</v>
      </c>
      <c r="I195" s="3">
        <f t="shared" si="3"/>
        <v>25.6311674996796</v>
      </c>
      <c r="J195" s="5">
        <v>0</v>
      </c>
      <c r="K195" s="5">
        <v>1</v>
      </c>
      <c r="L195" s="5">
        <v>0</v>
      </c>
      <c r="M195" s="5">
        <v>0</v>
      </c>
      <c r="N195">
        <v>0</v>
      </c>
      <c r="O195" s="5">
        <v>0</v>
      </c>
      <c r="P195" s="5">
        <v>0</v>
      </c>
      <c r="Q195" s="5">
        <v>1</v>
      </c>
      <c r="R195" s="5">
        <v>1</v>
      </c>
      <c r="S195" s="5">
        <v>11</v>
      </c>
      <c r="T195">
        <v>5</v>
      </c>
      <c r="U195">
        <v>4</v>
      </c>
      <c r="V195">
        <v>0</v>
      </c>
      <c r="W195">
        <v>0</v>
      </c>
      <c r="X195" t="s">
        <v>48</v>
      </c>
      <c r="Y195">
        <v>2</v>
      </c>
      <c r="Z195" t="s">
        <v>37</v>
      </c>
      <c r="AA195">
        <v>20.1</v>
      </c>
      <c r="AB195">
        <v>10.78</v>
      </c>
      <c r="AC195">
        <v>172.12</v>
      </c>
    </row>
    <row r="196" spans="1:29">
      <c r="A196" s="1" t="s">
        <v>480</v>
      </c>
      <c r="B196" t="s">
        <v>481</v>
      </c>
      <c r="C196" s="6">
        <v>62</v>
      </c>
      <c r="D196">
        <v>1</v>
      </c>
      <c r="E196">
        <v>5.68</v>
      </c>
      <c r="F196">
        <v>0</v>
      </c>
      <c r="G196">
        <v>160</v>
      </c>
      <c r="H196" s="2">
        <v>58</v>
      </c>
      <c r="I196" s="3">
        <f t="shared" si="3"/>
        <v>22.65625</v>
      </c>
      <c r="J196" s="5">
        <v>0</v>
      </c>
      <c r="K196" s="5">
        <v>0</v>
      </c>
      <c r="L196" s="5">
        <v>1</v>
      </c>
      <c r="M196" s="5">
        <v>0</v>
      </c>
      <c r="N196">
        <v>0</v>
      </c>
      <c r="O196" s="5">
        <v>5</v>
      </c>
      <c r="P196" s="5">
        <v>5</v>
      </c>
      <c r="Q196" s="5">
        <v>1</v>
      </c>
      <c r="R196" s="5">
        <v>1</v>
      </c>
      <c r="S196" s="5">
        <v>17</v>
      </c>
      <c r="T196">
        <v>6</v>
      </c>
      <c r="U196">
        <v>4</v>
      </c>
      <c r="V196">
        <v>1</v>
      </c>
      <c r="W196">
        <v>1</v>
      </c>
      <c r="X196" t="s">
        <v>51</v>
      </c>
      <c r="Y196">
        <v>3</v>
      </c>
      <c r="Z196" t="s">
        <v>37</v>
      </c>
      <c r="AA196">
        <v>19.03</v>
      </c>
      <c r="AB196">
        <v>3.99</v>
      </c>
      <c r="AC196">
        <v>52.31</v>
      </c>
    </row>
    <row r="197" spans="1:29">
      <c r="A197" s="1" t="s">
        <v>482</v>
      </c>
      <c r="B197" t="s">
        <v>483</v>
      </c>
      <c r="C197" s="6">
        <v>76</v>
      </c>
      <c r="D197">
        <v>0</v>
      </c>
      <c r="E197">
        <v>4.25</v>
      </c>
      <c r="F197">
        <v>0</v>
      </c>
      <c r="G197">
        <v>159</v>
      </c>
      <c r="H197" s="2">
        <v>61</v>
      </c>
      <c r="I197" s="3">
        <f t="shared" si="3"/>
        <v>24.1287923737194</v>
      </c>
      <c r="J197">
        <v>0</v>
      </c>
      <c r="K197">
        <v>0</v>
      </c>
      <c r="L197">
        <v>1</v>
      </c>
      <c r="M197">
        <v>0</v>
      </c>
      <c r="N197">
        <v>1</v>
      </c>
      <c r="O197" s="5">
        <v>5</v>
      </c>
      <c r="P197" s="5">
        <v>5</v>
      </c>
      <c r="Q197" s="5">
        <v>1</v>
      </c>
      <c r="R197" s="5">
        <v>1</v>
      </c>
      <c r="S197" s="5">
        <v>9</v>
      </c>
      <c r="T197">
        <v>4</v>
      </c>
      <c r="U197">
        <v>4</v>
      </c>
      <c r="V197">
        <v>0</v>
      </c>
      <c r="W197">
        <v>0</v>
      </c>
      <c r="X197" t="s">
        <v>34</v>
      </c>
      <c r="Y197">
        <v>1</v>
      </c>
      <c r="Z197" t="s">
        <v>37</v>
      </c>
      <c r="AA197">
        <v>15.21</v>
      </c>
      <c r="AB197">
        <v>9.02</v>
      </c>
      <c r="AC197">
        <v>110.94</v>
      </c>
    </row>
    <row r="198" spans="1:29">
      <c r="A198" s="1" t="s">
        <v>484</v>
      </c>
      <c r="B198" t="s">
        <v>485</v>
      </c>
      <c r="C198" s="6">
        <v>58</v>
      </c>
      <c r="D198">
        <v>0</v>
      </c>
      <c r="E198">
        <v>3.57</v>
      </c>
      <c r="F198">
        <v>1</v>
      </c>
      <c r="G198">
        <v>155</v>
      </c>
      <c r="H198" s="2">
        <v>65</v>
      </c>
      <c r="I198" s="3">
        <f t="shared" si="3"/>
        <v>27.0551508844953</v>
      </c>
      <c r="J198">
        <v>0</v>
      </c>
      <c r="K198">
        <v>0</v>
      </c>
      <c r="L198">
        <v>0</v>
      </c>
      <c r="M198">
        <v>0</v>
      </c>
      <c r="N198">
        <v>1</v>
      </c>
      <c r="O198" s="5">
        <v>3</v>
      </c>
      <c r="P198" s="5">
        <v>3</v>
      </c>
      <c r="Q198" s="5">
        <v>1</v>
      </c>
      <c r="R198" s="5">
        <v>1</v>
      </c>
      <c r="S198" s="5">
        <v>17</v>
      </c>
      <c r="T198">
        <v>5</v>
      </c>
      <c r="U198">
        <v>4</v>
      </c>
      <c r="V198">
        <v>1</v>
      </c>
      <c r="W198">
        <v>0</v>
      </c>
      <c r="X198" t="s">
        <v>48</v>
      </c>
      <c r="Y198">
        <v>2</v>
      </c>
      <c r="Z198" t="s">
        <v>37</v>
      </c>
      <c r="AA198">
        <v>20.66</v>
      </c>
      <c r="AB198">
        <v>4.6</v>
      </c>
      <c r="AC198">
        <v>96.04</v>
      </c>
    </row>
    <row r="199" spans="1:29">
      <c r="A199" s="1" t="s">
        <v>486</v>
      </c>
      <c r="B199" t="s">
        <v>487</v>
      </c>
      <c r="C199" s="6">
        <v>60</v>
      </c>
      <c r="D199">
        <v>0</v>
      </c>
      <c r="E199">
        <v>4.55</v>
      </c>
      <c r="F199">
        <v>0</v>
      </c>
      <c r="G199">
        <v>158</v>
      </c>
      <c r="H199" s="2">
        <v>56</v>
      </c>
      <c r="I199" s="3">
        <f t="shared" si="3"/>
        <v>22.4323025156225</v>
      </c>
      <c r="J199">
        <v>1</v>
      </c>
      <c r="K199">
        <v>1</v>
      </c>
      <c r="L199">
        <v>0</v>
      </c>
      <c r="M199">
        <v>0</v>
      </c>
      <c r="N199">
        <v>0</v>
      </c>
      <c r="O199" s="5">
        <v>5</v>
      </c>
      <c r="P199" s="5">
        <v>5</v>
      </c>
      <c r="Q199" s="5">
        <v>1</v>
      </c>
      <c r="R199" s="5">
        <v>1</v>
      </c>
      <c r="S199" s="5">
        <v>10</v>
      </c>
      <c r="T199">
        <v>6</v>
      </c>
      <c r="U199">
        <v>3</v>
      </c>
      <c r="V199">
        <v>0</v>
      </c>
      <c r="W199">
        <v>1</v>
      </c>
      <c r="X199" t="s">
        <v>34</v>
      </c>
      <c r="Y199">
        <v>2</v>
      </c>
      <c r="Z199" t="s">
        <v>37</v>
      </c>
      <c r="AA199">
        <v>17.96</v>
      </c>
      <c r="AB199">
        <v>8.98</v>
      </c>
      <c r="AC199">
        <v>99.29</v>
      </c>
    </row>
    <row r="200" spans="1:29">
      <c r="A200" s="1" t="s">
        <v>488</v>
      </c>
      <c r="B200" t="s">
        <v>489</v>
      </c>
      <c r="C200" s="6">
        <v>57</v>
      </c>
      <c r="D200">
        <v>1</v>
      </c>
      <c r="E200">
        <v>1.88</v>
      </c>
      <c r="F200">
        <v>0</v>
      </c>
      <c r="G200">
        <v>164</v>
      </c>
      <c r="H200" s="2">
        <v>68</v>
      </c>
      <c r="I200" s="3">
        <f t="shared" si="3"/>
        <v>25.2825698988697</v>
      </c>
      <c r="J200" s="5">
        <v>0</v>
      </c>
      <c r="K200" s="5">
        <v>0</v>
      </c>
      <c r="L200" s="5">
        <v>1</v>
      </c>
      <c r="M200" s="5">
        <v>0</v>
      </c>
      <c r="N200">
        <v>1</v>
      </c>
      <c r="O200" s="5">
        <v>5</v>
      </c>
      <c r="P200" s="5">
        <v>5</v>
      </c>
      <c r="Q200" s="5">
        <v>1</v>
      </c>
      <c r="R200" s="5">
        <v>1</v>
      </c>
      <c r="S200" s="5">
        <v>16</v>
      </c>
      <c r="T200">
        <v>6</v>
      </c>
      <c r="U200">
        <v>4</v>
      </c>
      <c r="V200">
        <v>0</v>
      </c>
      <c r="W200">
        <v>0</v>
      </c>
      <c r="X200" t="s">
        <v>34</v>
      </c>
      <c r="Y200">
        <v>1</v>
      </c>
      <c r="Z200" t="s">
        <v>37</v>
      </c>
      <c r="AA200">
        <v>15.76</v>
      </c>
      <c r="AB200">
        <v>7.35</v>
      </c>
      <c r="AC200">
        <v>123.73</v>
      </c>
    </row>
    <row r="201" spans="1:29">
      <c r="A201" s="1" t="s">
        <v>490</v>
      </c>
      <c r="B201" t="s">
        <v>491</v>
      </c>
      <c r="C201" s="6">
        <v>61</v>
      </c>
      <c r="D201">
        <v>0</v>
      </c>
      <c r="E201">
        <v>4.76</v>
      </c>
      <c r="F201">
        <v>0</v>
      </c>
      <c r="G201">
        <v>161</v>
      </c>
      <c r="H201" s="2">
        <v>59</v>
      </c>
      <c r="I201" s="3">
        <f t="shared" si="3"/>
        <v>22.7614675359747</v>
      </c>
      <c r="J201">
        <v>0</v>
      </c>
      <c r="K201">
        <v>1</v>
      </c>
      <c r="L201">
        <v>0</v>
      </c>
      <c r="M201">
        <v>0</v>
      </c>
      <c r="N201">
        <v>1</v>
      </c>
      <c r="O201" s="5">
        <v>5</v>
      </c>
      <c r="P201" s="5">
        <v>5</v>
      </c>
      <c r="Q201" s="5">
        <v>1</v>
      </c>
      <c r="R201" s="5">
        <v>1</v>
      </c>
      <c r="S201" s="5">
        <v>11</v>
      </c>
      <c r="T201">
        <v>6</v>
      </c>
      <c r="U201">
        <v>3</v>
      </c>
      <c r="V201">
        <v>0</v>
      </c>
      <c r="W201">
        <v>1</v>
      </c>
      <c r="X201" t="s">
        <v>48</v>
      </c>
      <c r="Y201">
        <v>2</v>
      </c>
      <c r="Z201" t="s">
        <v>37</v>
      </c>
      <c r="AA201">
        <v>17.38</v>
      </c>
      <c r="AB201">
        <v>7.79</v>
      </c>
      <c r="AC201">
        <v>72.01</v>
      </c>
    </row>
    <row r="202" spans="1:29">
      <c r="A202" s="1" t="s">
        <v>492</v>
      </c>
      <c r="B202" t="s">
        <v>493</v>
      </c>
      <c r="C202" s="6">
        <v>39</v>
      </c>
      <c r="D202">
        <v>0</v>
      </c>
      <c r="E202">
        <v>3.76</v>
      </c>
      <c r="F202">
        <v>0</v>
      </c>
      <c r="G202">
        <v>156</v>
      </c>
      <c r="H202" s="2">
        <v>62</v>
      </c>
      <c r="I202" s="3">
        <f t="shared" ref="I202:I265" si="4">H202/((G202/100)^2)</f>
        <v>25.4766600920447</v>
      </c>
      <c r="J202">
        <v>1</v>
      </c>
      <c r="K202">
        <v>0</v>
      </c>
      <c r="L202">
        <v>1</v>
      </c>
      <c r="M202">
        <v>0</v>
      </c>
      <c r="N202">
        <v>1</v>
      </c>
      <c r="O202" s="5">
        <v>5</v>
      </c>
      <c r="P202" s="5">
        <v>5</v>
      </c>
      <c r="Q202" s="5">
        <v>1</v>
      </c>
      <c r="R202" s="5">
        <v>1</v>
      </c>
      <c r="S202" s="5">
        <v>10</v>
      </c>
      <c r="T202">
        <v>6</v>
      </c>
      <c r="U202">
        <v>3</v>
      </c>
      <c r="V202">
        <v>0</v>
      </c>
      <c r="W202">
        <v>0</v>
      </c>
      <c r="X202" t="s">
        <v>33</v>
      </c>
      <c r="Y202">
        <v>2</v>
      </c>
      <c r="Z202" t="s">
        <v>34</v>
      </c>
      <c r="AA202">
        <v>18.8</v>
      </c>
      <c r="AB202">
        <v>7.84</v>
      </c>
      <c r="AC202">
        <v>102.56</v>
      </c>
    </row>
    <row r="203" spans="1:29">
      <c r="A203" s="1" t="s">
        <v>494</v>
      </c>
      <c r="B203" t="s">
        <v>495</v>
      </c>
      <c r="C203" s="6">
        <v>48</v>
      </c>
      <c r="D203">
        <v>1</v>
      </c>
      <c r="E203">
        <v>4.46</v>
      </c>
      <c r="F203">
        <v>0</v>
      </c>
      <c r="G203">
        <v>159</v>
      </c>
      <c r="H203" s="2">
        <v>60</v>
      </c>
      <c r="I203" s="3">
        <f t="shared" si="4"/>
        <v>23.7332384003797</v>
      </c>
      <c r="J203" s="5">
        <v>0</v>
      </c>
      <c r="K203" s="5">
        <v>0</v>
      </c>
      <c r="L203" s="5">
        <v>0</v>
      </c>
      <c r="M203" s="5">
        <v>0</v>
      </c>
      <c r="N203">
        <v>0</v>
      </c>
      <c r="O203" s="5">
        <v>5</v>
      </c>
      <c r="P203" s="5">
        <v>5</v>
      </c>
      <c r="Q203" s="5">
        <v>1</v>
      </c>
      <c r="R203" s="5">
        <v>1</v>
      </c>
      <c r="S203" s="5">
        <v>14</v>
      </c>
      <c r="T203">
        <v>6</v>
      </c>
      <c r="U203">
        <v>3</v>
      </c>
      <c r="V203">
        <v>0</v>
      </c>
      <c r="W203">
        <v>0</v>
      </c>
      <c r="X203" t="s">
        <v>34</v>
      </c>
      <c r="Y203">
        <v>2</v>
      </c>
      <c r="Z203" t="s">
        <v>34</v>
      </c>
      <c r="AA203">
        <v>15.76</v>
      </c>
      <c r="AB203">
        <v>9.9</v>
      </c>
      <c r="AC203">
        <v>90.19</v>
      </c>
    </row>
    <row r="204" spans="1:29">
      <c r="A204" s="1" t="s">
        <v>496</v>
      </c>
      <c r="B204" t="s">
        <v>497</v>
      </c>
      <c r="C204" s="6">
        <v>65</v>
      </c>
      <c r="D204">
        <v>1</v>
      </c>
      <c r="E204">
        <v>6.69</v>
      </c>
      <c r="F204">
        <v>0</v>
      </c>
      <c r="G204">
        <v>165</v>
      </c>
      <c r="H204" s="2">
        <v>57</v>
      </c>
      <c r="I204" s="3">
        <f t="shared" si="4"/>
        <v>20.9366391184573</v>
      </c>
      <c r="J204" s="5">
        <v>0</v>
      </c>
      <c r="K204" s="5">
        <v>0</v>
      </c>
      <c r="L204" s="5">
        <v>0</v>
      </c>
      <c r="M204" s="5">
        <v>0</v>
      </c>
      <c r="N204">
        <v>0</v>
      </c>
      <c r="O204" s="5">
        <v>5</v>
      </c>
      <c r="P204" s="5">
        <v>5</v>
      </c>
      <c r="Q204" s="5">
        <v>1</v>
      </c>
      <c r="R204" s="5">
        <v>1</v>
      </c>
      <c r="S204" s="5">
        <v>11</v>
      </c>
      <c r="T204">
        <v>6</v>
      </c>
      <c r="U204">
        <v>4</v>
      </c>
      <c r="V204">
        <v>0</v>
      </c>
      <c r="W204">
        <v>1</v>
      </c>
      <c r="X204" t="s">
        <v>48</v>
      </c>
      <c r="Y204">
        <v>3</v>
      </c>
      <c r="Z204" t="s">
        <v>33</v>
      </c>
      <c r="AA204">
        <v>17.14</v>
      </c>
      <c r="AB204">
        <v>8</v>
      </c>
      <c r="AC204">
        <v>84.86</v>
      </c>
    </row>
    <row r="205" spans="1:29">
      <c r="A205" s="1" t="s">
        <v>498</v>
      </c>
      <c r="B205" t="s">
        <v>499</v>
      </c>
      <c r="C205" s="6">
        <v>39</v>
      </c>
      <c r="D205">
        <v>0</v>
      </c>
      <c r="E205">
        <v>8.62</v>
      </c>
      <c r="F205">
        <v>0</v>
      </c>
      <c r="G205">
        <v>157</v>
      </c>
      <c r="H205" s="2">
        <v>64</v>
      </c>
      <c r="I205" s="3">
        <f t="shared" si="4"/>
        <v>25.9645421720962</v>
      </c>
      <c r="J205">
        <v>1</v>
      </c>
      <c r="K205">
        <v>0</v>
      </c>
      <c r="L205">
        <v>1</v>
      </c>
      <c r="M205">
        <v>1</v>
      </c>
      <c r="N205">
        <v>0</v>
      </c>
      <c r="O205" s="5">
        <v>5</v>
      </c>
      <c r="P205" s="5">
        <v>5</v>
      </c>
      <c r="Q205" s="5">
        <v>1</v>
      </c>
      <c r="R205" s="5">
        <v>1</v>
      </c>
      <c r="S205" s="5">
        <v>9</v>
      </c>
      <c r="T205">
        <v>4</v>
      </c>
      <c r="U205">
        <v>4</v>
      </c>
      <c r="V205">
        <v>0</v>
      </c>
      <c r="W205">
        <v>0</v>
      </c>
      <c r="X205" t="s">
        <v>34</v>
      </c>
      <c r="Y205">
        <v>2</v>
      </c>
      <c r="Z205" t="s">
        <v>34</v>
      </c>
      <c r="AA205">
        <v>15.07</v>
      </c>
      <c r="AB205">
        <v>8.32</v>
      </c>
      <c r="AC205">
        <v>148.66</v>
      </c>
    </row>
    <row r="206" spans="1:29">
      <c r="A206" s="1" t="s">
        <v>500</v>
      </c>
      <c r="B206" t="s">
        <v>501</v>
      </c>
      <c r="C206" s="6">
        <v>60</v>
      </c>
      <c r="D206">
        <v>0</v>
      </c>
      <c r="E206">
        <v>7.9</v>
      </c>
      <c r="F206">
        <v>0</v>
      </c>
      <c r="G206">
        <v>151</v>
      </c>
      <c r="H206" s="2">
        <v>66</v>
      </c>
      <c r="I206" s="3">
        <f t="shared" si="4"/>
        <v>28.9460988553134</v>
      </c>
      <c r="J206">
        <v>0</v>
      </c>
      <c r="K206">
        <v>1</v>
      </c>
      <c r="L206">
        <v>1</v>
      </c>
      <c r="M206">
        <v>0</v>
      </c>
      <c r="N206">
        <v>0</v>
      </c>
      <c r="O206" s="5">
        <v>5</v>
      </c>
      <c r="P206" s="5">
        <v>5</v>
      </c>
      <c r="Q206" s="5">
        <v>1</v>
      </c>
      <c r="R206" s="5">
        <v>1</v>
      </c>
      <c r="S206" s="5">
        <v>16</v>
      </c>
      <c r="T206">
        <v>4</v>
      </c>
      <c r="U206">
        <v>4</v>
      </c>
      <c r="V206">
        <v>1</v>
      </c>
      <c r="W206">
        <v>1</v>
      </c>
      <c r="X206" t="s">
        <v>48</v>
      </c>
      <c r="Y206">
        <v>3</v>
      </c>
      <c r="Z206" t="s">
        <v>37</v>
      </c>
      <c r="AA206">
        <v>19.56</v>
      </c>
      <c r="AB206">
        <v>7.98</v>
      </c>
      <c r="AC206">
        <v>44.29</v>
      </c>
    </row>
    <row r="207" spans="1:29">
      <c r="A207" s="1" t="s">
        <v>502</v>
      </c>
      <c r="B207" t="s">
        <v>503</v>
      </c>
      <c r="C207" s="6">
        <v>74</v>
      </c>
      <c r="D207">
        <v>1</v>
      </c>
      <c r="E207">
        <v>-1.56</v>
      </c>
      <c r="F207">
        <v>0</v>
      </c>
      <c r="G207">
        <v>160</v>
      </c>
      <c r="H207" s="2">
        <v>55</v>
      </c>
      <c r="I207" s="3">
        <f t="shared" si="4"/>
        <v>21.484375</v>
      </c>
      <c r="J207" s="5">
        <v>0</v>
      </c>
      <c r="K207" s="5">
        <v>0</v>
      </c>
      <c r="L207" s="5">
        <v>0</v>
      </c>
      <c r="M207" s="5">
        <v>0</v>
      </c>
      <c r="N207">
        <v>1</v>
      </c>
      <c r="O207" s="5">
        <v>5</v>
      </c>
      <c r="P207" s="5">
        <v>5</v>
      </c>
      <c r="Q207" s="5">
        <v>1</v>
      </c>
      <c r="R207" s="5">
        <v>1</v>
      </c>
      <c r="S207" s="5">
        <v>19</v>
      </c>
      <c r="T207">
        <v>4</v>
      </c>
      <c r="U207">
        <v>4</v>
      </c>
      <c r="V207">
        <v>0</v>
      </c>
      <c r="W207">
        <v>0</v>
      </c>
      <c r="X207" t="s">
        <v>34</v>
      </c>
      <c r="Y207">
        <v>2</v>
      </c>
      <c r="Z207" t="s">
        <v>37</v>
      </c>
      <c r="AA207">
        <v>22.84</v>
      </c>
      <c r="AB207">
        <v>10.9</v>
      </c>
      <c r="AC207">
        <v>164.01</v>
      </c>
    </row>
    <row r="208" spans="1:29">
      <c r="A208" s="1" t="s">
        <v>504</v>
      </c>
      <c r="B208" t="s">
        <v>505</v>
      </c>
      <c r="C208" s="6">
        <v>51</v>
      </c>
      <c r="D208">
        <v>0</v>
      </c>
      <c r="E208">
        <v>6.73</v>
      </c>
      <c r="F208">
        <v>0</v>
      </c>
      <c r="G208">
        <v>158</v>
      </c>
      <c r="H208" s="2">
        <v>63</v>
      </c>
      <c r="I208" s="3">
        <f t="shared" si="4"/>
        <v>25.2363403300753</v>
      </c>
      <c r="J208">
        <v>0</v>
      </c>
      <c r="K208">
        <v>1</v>
      </c>
      <c r="L208">
        <v>0</v>
      </c>
      <c r="M208">
        <v>0</v>
      </c>
      <c r="N208">
        <v>0</v>
      </c>
      <c r="O208" s="5">
        <v>5</v>
      </c>
      <c r="P208" s="5">
        <v>5</v>
      </c>
      <c r="Q208" s="5">
        <v>1</v>
      </c>
      <c r="R208" s="5">
        <v>1</v>
      </c>
      <c r="S208" s="5">
        <v>14</v>
      </c>
      <c r="T208">
        <v>4</v>
      </c>
      <c r="U208">
        <v>4</v>
      </c>
      <c r="V208">
        <v>0</v>
      </c>
      <c r="W208">
        <v>1</v>
      </c>
      <c r="X208" t="s">
        <v>48</v>
      </c>
      <c r="Y208">
        <v>2</v>
      </c>
      <c r="Z208" t="s">
        <v>37</v>
      </c>
      <c r="AA208">
        <v>18.16</v>
      </c>
      <c r="AB208">
        <v>7.8</v>
      </c>
      <c r="AC208">
        <v>128.79</v>
      </c>
    </row>
    <row r="209" spans="1:29">
      <c r="A209" s="1" t="s">
        <v>506</v>
      </c>
      <c r="B209" t="s">
        <v>507</v>
      </c>
      <c r="C209" s="6">
        <v>77</v>
      </c>
      <c r="D209">
        <v>0</v>
      </c>
      <c r="E209">
        <v>8.36</v>
      </c>
      <c r="F209">
        <v>0</v>
      </c>
      <c r="G209">
        <v>154</v>
      </c>
      <c r="H209" s="2">
        <v>59</v>
      </c>
      <c r="I209" s="3">
        <f t="shared" si="4"/>
        <v>24.8777196829145</v>
      </c>
      <c r="J209">
        <v>0</v>
      </c>
      <c r="K209">
        <v>1</v>
      </c>
      <c r="L209">
        <v>1</v>
      </c>
      <c r="M209">
        <v>0</v>
      </c>
      <c r="N209">
        <v>0</v>
      </c>
      <c r="O209" s="5">
        <v>5</v>
      </c>
      <c r="P209" s="5">
        <v>5</v>
      </c>
      <c r="Q209" s="5">
        <v>1</v>
      </c>
      <c r="R209" s="5">
        <v>1</v>
      </c>
      <c r="S209" s="5">
        <v>12</v>
      </c>
      <c r="T209">
        <v>6</v>
      </c>
      <c r="U209">
        <v>4</v>
      </c>
      <c r="V209">
        <v>1</v>
      </c>
      <c r="W209">
        <v>1</v>
      </c>
      <c r="X209" t="s">
        <v>34</v>
      </c>
      <c r="Y209">
        <v>2</v>
      </c>
      <c r="Z209" t="s">
        <v>37</v>
      </c>
      <c r="AA209">
        <v>20.02</v>
      </c>
      <c r="AB209">
        <v>10.99</v>
      </c>
      <c r="AC209">
        <v>143.22</v>
      </c>
    </row>
    <row r="210" spans="1:29">
      <c r="A210" s="1" t="s">
        <v>508</v>
      </c>
      <c r="B210" t="s">
        <v>509</v>
      </c>
      <c r="C210" s="6">
        <v>73</v>
      </c>
      <c r="D210">
        <v>1</v>
      </c>
      <c r="E210">
        <v>5.4</v>
      </c>
      <c r="F210">
        <v>0</v>
      </c>
      <c r="G210">
        <v>162</v>
      </c>
      <c r="H210" s="2">
        <v>61</v>
      </c>
      <c r="I210" s="3">
        <f t="shared" si="4"/>
        <v>23.2434080170706</v>
      </c>
      <c r="J210" s="5">
        <v>0</v>
      </c>
      <c r="K210" s="5">
        <v>0</v>
      </c>
      <c r="L210" s="5">
        <v>1</v>
      </c>
      <c r="M210" s="5">
        <v>1</v>
      </c>
      <c r="N210">
        <v>1</v>
      </c>
      <c r="O210" s="5">
        <v>5</v>
      </c>
      <c r="P210" s="5">
        <v>5</v>
      </c>
      <c r="Q210" s="5">
        <v>1</v>
      </c>
      <c r="R210" s="5">
        <v>0</v>
      </c>
      <c r="S210" s="5">
        <v>15</v>
      </c>
      <c r="T210">
        <v>5</v>
      </c>
      <c r="U210">
        <v>2</v>
      </c>
      <c r="V210">
        <v>0</v>
      </c>
      <c r="W210">
        <v>0</v>
      </c>
      <c r="X210" t="s">
        <v>48</v>
      </c>
      <c r="Y210">
        <v>1</v>
      </c>
      <c r="Z210" t="s">
        <v>37</v>
      </c>
      <c r="AA210">
        <v>18.69</v>
      </c>
      <c r="AB210">
        <v>9.56</v>
      </c>
      <c r="AC210">
        <v>118.76</v>
      </c>
    </row>
    <row r="211" spans="1:29">
      <c r="A211" s="1" t="s">
        <v>510</v>
      </c>
      <c r="B211" t="s">
        <v>511</v>
      </c>
      <c r="C211" s="6">
        <v>68</v>
      </c>
      <c r="D211">
        <v>0</v>
      </c>
      <c r="E211">
        <v>0.81</v>
      </c>
      <c r="F211">
        <v>0</v>
      </c>
      <c r="G211">
        <v>159</v>
      </c>
      <c r="H211" s="2">
        <v>67</v>
      </c>
      <c r="I211" s="3">
        <f t="shared" si="4"/>
        <v>26.5021162137574</v>
      </c>
      <c r="J211">
        <v>1</v>
      </c>
      <c r="K211">
        <v>0</v>
      </c>
      <c r="L211">
        <v>1</v>
      </c>
      <c r="M211">
        <v>0</v>
      </c>
      <c r="N211">
        <v>1</v>
      </c>
      <c r="O211" s="5">
        <v>5</v>
      </c>
      <c r="P211" s="5">
        <v>5</v>
      </c>
      <c r="Q211" s="5">
        <v>1</v>
      </c>
      <c r="R211">
        <v>1</v>
      </c>
      <c r="S211">
        <v>16</v>
      </c>
      <c r="T211">
        <v>4</v>
      </c>
      <c r="U211">
        <v>4</v>
      </c>
      <c r="V211">
        <v>0</v>
      </c>
      <c r="W211">
        <v>0</v>
      </c>
      <c r="X211" t="s">
        <v>34</v>
      </c>
      <c r="Y211">
        <v>2</v>
      </c>
      <c r="Z211" t="s">
        <v>37</v>
      </c>
      <c r="AA211">
        <v>16.73</v>
      </c>
      <c r="AB211">
        <v>10.45</v>
      </c>
      <c r="AC211">
        <v>133.82</v>
      </c>
    </row>
    <row r="212" spans="1:29">
      <c r="A212" s="1" t="s">
        <v>512</v>
      </c>
      <c r="B212" t="s">
        <v>513</v>
      </c>
      <c r="C212" s="6">
        <v>65</v>
      </c>
      <c r="D212">
        <v>1</v>
      </c>
      <c r="E212">
        <v>3.52</v>
      </c>
      <c r="F212">
        <v>0</v>
      </c>
      <c r="G212">
        <v>155</v>
      </c>
      <c r="H212" s="2">
        <v>58</v>
      </c>
      <c r="I212" s="3">
        <f t="shared" si="4"/>
        <v>24.1415192507804</v>
      </c>
      <c r="J212" s="5">
        <v>0</v>
      </c>
      <c r="K212" s="5">
        <v>0</v>
      </c>
      <c r="L212" s="5">
        <v>0</v>
      </c>
      <c r="M212" s="5">
        <v>1</v>
      </c>
      <c r="N212">
        <v>1</v>
      </c>
      <c r="O212" s="5">
        <v>5</v>
      </c>
      <c r="P212" s="5">
        <v>5</v>
      </c>
      <c r="Q212" s="5">
        <v>1</v>
      </c>
      <c r="R212">
        <v>1</v>
      </c>
      <c r="S212">
        <v>21</v>
      </c>
      <c r="T212">
        <v>3</v>
      </c>
      <c r="U212">
        <v>4</v>
      </c>
      <c r="V212">
        <v>0</v>
      </c>
      <c r="W212">
        <v>0</v>
      </c>
      <c r="X212" t="s">
        <v>34</v>
      </c>
      <c r="Y212">
        <v>1</v>
      </c>
      <c r="Z212" t="s">
        <v>33</v>
      </c>
      <c r="AA212">
        <v>14.7</v>
      </c>
      <c r="AB212">
        <v>10.77</v>
      </c>
      <c r="AC212">
        <v>124.92</v>
      </c>
    </row>
    <row r="213" spans="1:29">
      <c r="A213" s="1" t="s">
        <v>514</v>
      </c>
      <c r="B213" t="s">
        <v>515</v>
      </c>
      <c r="C213" s="6">
        <v>42</v>
      </c>
      <c r="D213">
        <v>1</v>
      </c>
      <c r="E213">
        <v>1.69</v>
      </c>
      <c r="F213">
        <v>0</v>
      </c>
      <c r="G213">
        <v>157</v>
      </c>
      <c r="H213" s="2">
        <v>62</v>
      </c>
      <c r="I213" s="3">
        <f t="shared" si="4"/>
        <v>25.1531502292182</v>
      </c>
      <c r="J213" s="5">
        <v>0</v>
      </c>
      <c r="K213" s="5">
        <v>0</v>
      </c>
      <c r="L213" s="5">
        <v>0</v>
      </c>
      <c r="M213" s="5">
        <v>0</v>
      </c>
      <c r="N213">
        <v>0</v>
      </c>
      <c r="O213" s="5">
        <v>5</v>
      </c>
      <c r="P213" s="5">
        <v>5</v>
      </c>
      <c r="Q213" s="5">
        <v>1</v>
      </c>
      <c r="R213">
        <v>1</v>
      </c>
      <c r="S213">
        <v>18</v>
      </c>
      <c r="T213">
        <v>6</v>
      </c>
      <c r="U213">
        <v>4</v>
      </c>
      <c r="V213">
        <v>0</v>
      </c>
      <c r="W213">
        <v>0</v>
      </c>
      <c r="X213" t="s">
        <v>48</v>
      </c>
      <c r="Y213">
        <v>2</v>
      </c>
      <c r="Z213" t="s">
        <v>37</v>
      </c>
      <c r="AA213">
        <v>18.82</v>
      </c>
      <c r="AB213">
        <v>10</v>
      </c>
      <c r="AC213">
        <v>107.81</v>
      </c>
    </row>
    <row r="214" spans="1:29">
      <c r="A214" s="1" t="s">
        <v>516</v>
      </c>
      <c r="B214" t="s">
        <v>517</v>
      </c>
      <c r="C214" s="6">
        <v>65</v>
      </c>
      <c r="D214">
        <v>1</v>
      </c>
      <c r="E214">
        <v>6.08</v>
      </c>
      <c r="F214">
        <v>0</v>
      </c>
      <c r="G214">
        <v>164</v>
      </c>
      <c r="H214" s="2">
        <v>65</v>
      </c>
      <c r="I214" s="3">
        <f t="shared" si="4"/>
        <v>24.1671624033314</v>
      </c>
      <c r="J214" s="5">
        <v>0</v>
      </c>
      <c r="K214" s="5">
        <v>0</v>
      </c>
      <c r="L214" s="5">
        <v>0</v>
      </c>
      <c r="M214" s="5">
        <v>0</v>
      </c>
      <c r="N214">
        <v>0</v>
      </c>
      <c r="O214" s="5">
        <v>5</v>
      </c>
      <c r="P214" s="5">
        <v>5</v>
      </c>
      <c r="Q214" s="5">
        <v>1</v>
      </c>
      <c r="R214">
        <v>1</v>
      </c>
      <c r="S214">
        <v>17</v>
      </c>
      <c r="T214">
        <v>7</v>
      </c>
      <c r="U214">
        <v>4</v>
      </c>
      <c r="V214">
        <v>0</v>
      </c>
      <c r="W214">
        <v>0</v>
      </c>
      <c r="X214" t="s">
        <v>33</v>
      </c>
      <c r="Y214">
        <v>2</v>
      </c>
      <c r="Z214" t="s">
        <v>37</v>
      </c>
      <c r="AA214">
        <v>18</v>
      </c>
      <c r="AB214">
        <v>9.32</v>
      </c>
      <c r="AC214">
        <v>124.8</v>
      </c>
    </row>
    <row r="215" spans="1:29">
      <c r="A215" s="1" t="s">
        <v>518</v>
      </c>
      <c r="B215" t="s">
        <v>519</v>
      </c>
      <c r="C215" s="6">
        <v>64</v>
      </c>
      <c r="D215">
        <v>0</v>
      </c>
      <c r="E215">
        <v>9.59</v>
      </c>
      <c r="F215">
        <v>0</v>
      </c>
      <c r="G215">
        <v>160</v>
      </c>
      <c r="H215" s="2">
        <v>60</v>
      </c>
      <c r="I215" s="3">
        <f t="shared" si="4"/>
        <v>23.4375</v>
      </c>
      <c r="J215">
        <v>1</v>
      </c>
      <c r="K215">
        <v>0</v>
      </c>
      <c r="L215">
        <v>1</v>
      </c>
      <c r="M215">
        <v>0</v>
      </c>
      <c r="N215">
        <v>0</v>
      </c>
      <c r="O215" s="5">
        <v>5</v>
      </c>
      <c r="P215" s="5">
        <v>5</v>
      </c>
      <c r="Q215" s="5">
        <v>1</v>
      </c>
      <c r="R215">
        <v>1</v>
      </c>
      <c r="S215">
        <v>19</v>
      </c>
      <c r="T215">
        <v>8</v>
      </c>
      <c r="U215">
        <v>3</v>
      </c>
      <c r="V215">
        <v>0</v>
      </c>
      <c r="W215">
        <v>1</v>
      </c>
      <c r="X215" t="s">
        <v>33</v>
      </c>
      <c r="Y215">
        <v>2</v>
      </c>
      <c r="Z215" t="s">
        <v>34</v>
      </c>
      <c r="AA215">
        <v>19.28</v>
      </c>
      <c r="AB215">
        <v>11.81</v>
      </c>
      <c r="AC215">
        <v>123.65</v>
      </c>
    </row>
    <row r="216" spans="1:29">
      <c r="A216" s="1" t="s">
        <v>520</v>
      </c>
      <c r="B216" t="s">
        <v>521</v>
      </c>
      <c r="C216" s="6">
        <v>59</v>
      </c>
      <c r="D216">
        <v>1</v>
      </c>
      <c r="E216">
        <v>8.02</v>
      </c>
      <c r="F216">
        <v>0</v>
      </c>
      <c r="G216">
        <v>156</v>
      </c>
      <c r="H216" s="2">
        <v>54</v>
      </c>
      <c r="I216" s="3">
        <f t="shared" si="4"/>
        <v>22.189349112426</v>
      </c>
      <c r="J216" s="5">
        <v>0</v>
      </c>
      <c r="K216" s="5">
        <v>1</v>
      </c>
      <c r="L216" s="5">
        <v>1</v>
      </c>
      <c r="M216" s="5">
        <v>0</v>
      </c>
      <c r="N216">
        <v>0</v>
      </c>
      <c r="O216" s="5">
        <v>5</v>
      </c>
      <c r="P216" s="5">
        <v>5</v>
      </c>
      <c r="Q216" s="5">
        <v>1</v>
      </c>
      <c r="R216">
        <v>0</v>
      </c>
      <c r="S216">
        <v>20</v>
      </c>
      <c r="T216">
        <v>5</v>
      </c>
      <c r="U216">
        <v>3</v>
      </c>
      <c r="V216">
        <v>0</v>
      </c>
      <c r="W216">
        <v>0</v>
      </c>
      <c r="X216" t="s">
        <v>48</v>
      </c>
      <c r="Y216">
        <v>2</v>
      </c>
      <c r="Z216" t="s">
        <v>37</v>
      </c>
      <c r="AA216">
        <v>16.89</v>
      </c>
      <c r="AB216">
        <v>11.49</v>
      </c>
      <c r="AC216">
        <v>148.36</v>
      </c>
    </row>
    <row r="217" spans="1:29">
      <c r="A217" s="1" t="s">
        <v>522</v>
      </c>
      <c r="B217" t="s">
        <v>523</v>
      </c>
      <c r="C217" s="6">
        <v>67</v>
      </c>
      <c r="D217">
        <v>1</v>
      </c>
      <c r="E217">
        <v>3.97</v>
      </c>
      <c r="F217">
        <v>0</v>
      </c>
      <c r="G217">
        <v>158</v>
      </c>
      <c r="H217" s="2">
        <v>69</v>
      </c>
      <c r="I217" s="3">
        <f t="shared" si="4"/>
        <v>27.639801313892</v>
      </c>
      <c r="J217" s="5">
        <v>0</v>
      </c>
      <c r="K217" s="5">
        <v>0</v>
      </c>
      <c r="L217" s="5">
        <v>0</v>
      </c>
      <c r="M217" s="5">
        <v>1</v>
      </c>
      <c r="N217">
        <v>1</v>
      </c>
      <c r="O217" s="5">
        <v>5</v>
      </c>
      <c r="P217" s="5">
        <v>5</v>
      </c>
      <c r="Q217" s="5">
        <v>1</v>
      </c>
      <c r="R217">
        <v>1</v>
      </c>
      <c r="S217">
        <v>18</v>
      </c>
      <c r="T217">
        <v>8</v>
      </c>
      <c r="U217">
        <v>4</v>
      </c>
      <c r="V217">
        <v>0</v>
      </c>
      <c r="W217">
        <v>0</v>
      </c>
      <c r="X217" t="s">
        <v>48</v>
      </c>
      <c r="Y217">
        <v>3</v>
      </c>
      <c r="Z217" t="s">
        <v>37</v>
      </c>
      <c r="AA217">
        <v>20.49</v>
      </c>
      <c r="AB217">
        <v>7.78</v>
      </c>
      <c r="AC217">
        <v>100.63</v>
      </c>
    </row>
    <row r="218" spans="1:29">
      <c r="A218" s="1" t="s">
        <v>524</v>
      </c>
      <c r="B218" t="s">
        <v>525</v>
      </c>
      <c r="C218" s="6">
        <v>67</v>
      </c>
      <c r="D218">
        <v>0</v>
      </c>
      <c r="E218">
        <v>8.08</v>
      </c>
      <c r="F218">
        <v>0</v>
      </c>
      <c r="G218">
        <v>167</v>
      </c>
      <c r="H218" s="2">
        <v>53</v>
      </c>
      <c r="I218" s="3">
        <f t="shared" si="4"/>
        <v>19.0039083509627</v>
      </c>
      <c r="J218">
        <v>0</v>
      </c>
      <c r="K218">
        <v>0</v>
      </c>
      <c r="L218">
        <v>0</v>
      </c>
      <c r="M218">
        <v>0</v>
      </c>
      <c r="N218">
        <v>0</v>
      </c>
      <c r="O218" s="5">
        <v>5</v>
      </c>
      <c r="P218" s="5">
        <v>5</v>
      </c>
      <c r="Q218" s="5">
        <v>1</v>
      </c>
      <c r="R218">
        <v>1</v>
      </c>
      <c r="S218">
        <v>22</v>
      </c>
      <c r="T218">
        <v>2</v>
      </c>
      <c r="U218">
        <v>5</v>
      </c>
      <c r="V218">
        <v>0</v>
      </c>
      <c r="W218">
        <v>0</v>
      </c>
      <c r="X218" t="s">
        <v>33</v>
      </c>
      <c r="Y218">
        <v>2</v>
      </c>
      <c r="Z218" t="s">
        <v>34</v>
      </c>
      <c r="AA218">
        <v>19.75</v>
      </c>
      <c r="AB218">
        <v>14.91</v>
      </c>
      <c r="AC218">
        <v>194.34</v>
      </c>
    </row>
    <row r="219" spans="1:29">
      <c r="A219" s="1" t="s">
        <v>526</v>
      </c>
      <c r="B219" t="s">
        <v>527</v>
      </c>
      <c r="C219" s="6">
        <v>48</v>
      </c>
      <c r="D219">
        <v>0</v>
      </c>
      <c r="E219">
        <v>4.6</v>
      </c>
      <c r="F219">
        <v>0</v>
      </c>
      <c r="G219">
        <v>163</v>
      </c>
      <c r="H219" s="2">
        <v>64</v>
      </c>
      <c r="I219" s="3">
        <f t="shared" si="4"/>
        <v>24.0882231171666</v>
      </c>
      <c r="J219">
        <v>0</v>
      </c>
      <c r="K219">
        <v>0</v>
      </c>
      <c r="L219">
        <v>1</v>
      </c>
      <c r="M219">
        <v>0</v>
      </c>
      <c r="N219">
        <v>1</v>
      </c>
      <c r="O219" s="5">
        <v>5</v>
      </c>
      <c r="P219" s="5">
        <v>5</v>
      </c>
      <c r="Q219" s="5">
        <v>1</v>
      </c>
      <c r="R219">
        <v>1</v>
      </c>
      <c r="S219">
        <v>19</v>
      </c>
      <c r="T219">
        <v>5</v>
      </c>
      <c r="U219">
        <v>4</v>
      </c>
      <c r="V219">
        <v>0</v>
      </c>
      <c r="W219">
        <v>0</v>
      </c>
      <c r="X219" t="s">
        <v>48</v>
      </c>
      <c r="Y219">
        <v>2</v>
      </c>
      <c r="Z219" t="s">
        <v>37</v>
      </c>
      <c r="AA219">
        <v>17.79</v>
      </c>
      <c r="AB219">
        <v>8.94</v>
      </c>
      <c r="AC219">
        <v>85.51</v>
      </c>
    </row>
    <row r="220" spans="1:29">
      <c r="A220" s="1" t="s">
        <v>528</v>
      </c>
      <c r="B220" t="s">
        <v>529</v>
      </c>
      <c r="C220" s="6">
        <v>67</v>
      </c>
      <c r="D220">
        <v>0</v>
      </c>
      <c r="E220">
        <v>5.14</v>
      </c>
      <c r="F220">
        <v>0</v>
      </c>
      <c r="G220">
        <v>158</v>
      </c>
      <c r="H220" s="2">
        <v>57</v>
      </c>
      <c r="I220" s="3">
        <f t="shared" si="4"/>
        <v>22.8328793462586</v>
      </c>
      <c r="J220" s="5">
        <v>1</v>
      </c>
      <c r="K220" s="5">
        <v>1</v>
      </c>
      <c r="L220" s="5">
        <v>0</v>
      </c>
      <c r="M220" s="5">
        <v>0</v>
      </c>
      <c r="N220">
        <v>1</v>
      </c>
      <c r="O220" s="5">
        <v>5</v>
      </c>
      <c r="P220" s="5">
        <v>5</v>
      </c>
      <c r="Q220" s="5">
        <v>1</v>
      </c>
      <c r="R220">
        <v>0</v>
      </c>
      <c r="S220">
        <v>18</v>
      </c>
      <c r="T220">
        <v>7</v>
      </c>
      <c r="U220">
        <v>5</v>
      </c>
      <c r="V220">
        <v>1</v>
      </c>
      <c r="W220">
        <v>0</v>
      </c>
      <c r="X220" t="s">
        <v>34</v>
      </c>
      <c r="Y220">
        <v>2</v>
      </c>
      <c r="Z220" t="s">
        <v>37</v>
      </c>
      <c r="AA220">
        <v>17.06</v>
      </c>
      <c r="AB220">
        <v>14.14</v>
      </c>
      <c r="AC220">
        <v>129.36</v>
      </c>
    </row>
    <row r="221" spans="1:29">
      <c r="A221" s="1" t="s">
        <v>530</v>
      </c>
      <c r="B221" t="s">
        <v>531</v>
      </c>
      <c r="C221" s="6">
        <v>67</v>
      </c>
      <c r="D221">
        <v>0</v>
      </c>
      <c r="E221">
        <v>7.01</v>
      </c>
      <c r="F221">
        <v>0</v>
      </c>
      <c r="G221">
        <v>154</v>
      </c>
      <c r="H221" s="2">
        <v>61</v>
      </c>
      <c r="I221" s="3">
        <f t="shared" si="4"/>
        <v>25.7210322145387</v>
      </c>
      <c r="J221" s="5">
        <v>0</v>
      </c>
      <c r="K221" s="5">
        <v>0</v>
      </c>
      <c r="L221" s="5">
        <v>1</v>
      </c>
      <c r="M221" s="5">
        <v>0</v>
      </c>
      <c r="N221">
        <v>0</v>
      </c>
      <c r="O221" s="5">
        <v>5</v>
      </c>
      <c r="P221" s="5">
        <v>5</v>
      </c>
      <c r="Q221" s="5">
        <v>1</v>
      </c>
      <c r="R221">
        <v>1</v>
      </c>
      <c r="S221">
        <v>18</v>
      </c>
      <c r="T221">
        <v>3</v>
      </c>
      <c r="U221">
        <v>4</v>
      </c>
      <c r="V221">
        <v>1</v>
      </c>
      <c r="W221">
        <v>0</v>
      </c>
      <c r="X221" t="s">
        <v>34</v>
      </c>
      <c r="Y221">
        <v>2</v>
      </c>
      <c r="Z221" t="s">
        <v>37</v>
      </c>
      <c r="AA221">
        <v>18.12</v>
      </c>
      <c r="AB221">
        <v>7.67</v>
      </c>
      <c r="AC221">
        <v>96.02</v>
      </c>
    </row>
    <row r="222" spans="1:29">
      <c r="A222" s="1" t="s">
        <v>532</v>
      </c>
      <c r="B222" t="s">
        <v>533</v>
      </c>
      <c r="C222" s="6">
        <v>58</v>
      </c>
      <c r="D222">
        <v>1</v>
      </c>
      <c r="E222">
        <v>2.76</v>
      </c>
      <c r="F222">
        <v>0</v>
      </c>
      <c r="G222">
        <v>161</v>
      </c>
      <c r="H222" s="2">
        <v>60</v>
      </c>
      <c r="I222" s="3">
        <f t="shared" si="4"/>
        <v>23.1472551213302</v>
      </c>
      <c r="J222" s="5">
        <v>0</v>
      </c>
      <c r="K222" s="5">
        <v>0</v>
      </c>
      <c r="L222" s="5">
        <v>1</v>
      </c>
      <c r="M222" s="5">
        <v>0</v>
      </c>
      <c r="N222">
        <v>0</v>
      </c>
      <c r="O222" s="5">
        <v>5</v>
      </c>
      <c r="P222" s="5">
        <v>5</v>
      </c>
      <c r="Q222" s="5">
        <v>1</v>
      </c>
      <c r="R222" s="5">
        <v>1</v>
      </c>
      <c r="S222" s="5">
        <v>16</v>
      </c>
      <c r="T222">
        <v>3</v>
      </c>
      <c r="U222">
        <v>3</v>
      </c>
      <c r="V222">
        <v>0</v>
      </c>
      <c r="W222">
        <v>0</v>
      </c>
      <c r="X222" t="s">
        <v>33</v>
      </c>
      <c r="Y222">
        <v>1</v>
      </c>
      <c r="Z222" t="s">
        <v>37</v>
      </c>
      <c r="AA222">
        <v>21.05</v>
      </c>
      <c r="AB222">
        <v>12.11</v>
      </c>
      <c r="AC222">
        <v>137.67</v>
      </c>
    </row>
    <row r="223" spans="1:29">
      <c r="A223" s="1" t="s">
        <v>534</v>
      </c>
      <c r="B223" t="s">
        <v>535</v>
      </c>
      <c r="C223" s="6">
        <v>51</v>
      </c>
      <c r="D223">
        <v>0</v>
      </c>
      <c r="E223">
        <v>7.32</v>
      </c>
      <c r="F223">
        <v>0</v>
      </c>
      <c r="G223">
        <v>159</v>
      </c>
      <c r="H223" s="2">
        <v>62</v>
      </c>
      <c r="I223" s="3">
        <f t="shared" si="4"/>
        <v>24.5243463470591</v>
      </c>
      <c r="J223" s="5">
        <v>0</v>
      </c>
      <c r="K223" s="5">
        <v>0</v>
      </c>
      <c r="L223" s="5">
        <v>0</v>
      </c>
      <c r="M223" s="5">
        <v>0</v>
      </c>
      <c r="N223">
        <v>1</v>
      </c>
      <c r="O223" s="5">
        <v>5</v>
      </c>
      <c r="P223" s="5">
        <v>5</v>
      </c>
      <c r="Q223" s="5">
        <v>1</v>
      </c>
      <c r="R223" s="5">
        <v>1</v>
      </c>
      <c r="S223" s="5">
        <v>20</v>
      </c>
      <c r="T223">
        <v>4</v>
      </c>
      <c r="U223">
        <v>4</v>
      </c>
      <c r="V223">
        <v>0</v>
      </c>
      <c r="W223">
        <v>1</v>
      </c>
      <c r="X223" t="s">
        <v>34</v>
      </c>
      <c r="Y223">
        <v>2</v>
      </c>
      <c r="Z223" t="s">
        <v>37</v>
      </c>
      <c r="AA223">
        <v>18.71</v>
      </c>
      <c r="AB223">
        <v>8.3</v>
      </c>
      <c r="AC223">
        <v>117.31</v>
      </c>
    </row>
    <row r="224" spans="1:29">
      <c r="A224" s="1" t="s">
        <v>536</v>
      </c>
      <c r="B224" t="s">
        <v>537</v>
      </c>
      <c r="C224" s="6">
        <v>79</v>
      </c>
      <c r="D224">
        <v>0</v>
      </c>
      <c r="E224">
        <v>3.52</v>
      </c>
      <c r="F224">
        <v>0</v>
      </c>
      <c r="G224">
        <v>155</v>
      </c>
      <c r="H224" s="2">
        <v>64</v>
      </c>
      <c r="I224" s="3">
        <f t="shared" si="4"/>
        <v>26.6389177939646</v>
      </c>
      <c r="J224" s="5">
        <v>1</v>
      </c>
      <c r="K224" s="5">
        <v>0</v>
      </c>
      <c r="L224" s="5">
        <v>1</v>
      </c>
      <c r="M224" s="5">
        <v>0</v>
      </c>
      <c r="N224">
        <v>0</v>
      </c>
      <c r="O224" s="5">
        <v>5</v>
      </c>
      <c r="P224" s="5">
        <v>5</v>
      </c>
      <c r="Q224" s="5">
        <v>1</v>
      </c>
      <c r="R224" s="5">
        <v>1</v>
      </c>
      <c r="S224" s="5">
        <v>20</v>
      </c>
      <c r="T224">
        <v>4</v>
      </c>
      <c r="U224">
        <v>4</v>
      </c>
      <c r="V224">
        <v>0</v>
      </c>
      <c r="W224">
        <v>1</v>
      </c>
      <c r="X224" t="s">
        <v>34</v>
      </c>
      <c r="Y224">
        <v>2</v>
      </c>
      <c r="Z224" t="s">
        <v>37</v>
      </c>
      <c r="AA224">
        <v>18.4</v>
      </c>
      <c r="AB224">
        <v>11.58</v>
      </c>
      <c r="AC224">
        <v>143.54</v>
      </c>
    </row>
    <row r="225" spans="1:30">
      <c r="A225" s="1" t="s">
        <v>538</v>
      </c>
      <c r="B225" t="s">
        <v>539</v>
      </c>
      <c r="C225" s="6">
        <v>39</v>
      </c>
      <c r="D225">
        <v>1</v>
      </c>
      <c r="E225">
        <v>5.6</v>
      </c>
      <c r="F225">
        <v>0</v>
      </c>
      <c r="G225">
        <v>159</v>
      </c>
      <c r="H225" s="2">
        <v>48</v>
      </c>
      <c r="I225" s="3">
        <f t="shared" si="4"/>
        <v>18.9865907203038</v>
      </c>
      <c r="J225" s="5">
        <v>0</v>
      </c>
      <c r="K225" s="5">
        <v>0</v>
      </c>
      <c r="L225" s="5">
        <v>1</v>
      </c>
      <c r="M225" s="5">
        <v>1</v>
      </c>
      <c r="N225">
        <v>0</v>
      </c>
      <c r="O225" s="5">
        <v>5</v>
      </c>
      <c r="P225" s="5">
        <v>5</v>
      </c>
      <c r="Q225" s="5">
        <v>1</v>
      </c>
      <c r="R225" s="5">
        <v>0</v>
      </c>
      <c r="S225" s="5">
        <v>21</v>
      </c>
      <c r="T225">
        <v>3</v>
      </c>
      <c r="U225">
        <v>4</v>
      </c>
      <c r="V225">
        <v>0</v>
      </c>
      <c r="W225">
        <v>0</v>
      </c>
      <c r="X225" t="s">
        <v>48</v>
      </c>
      <c r="Y225">
        <v>3</v>
      </c>
      <c r="Z225" t="s">
        <v>37</v>
      </c>
      <c r="AA225">
        <v>17.96</v>
      </c>
      <c r="AB225">
        <v>11.86</v>
      </c>
      <c r="AC225">
        <v>79.09</v>
      </c>
    </row>
    <row r="226" spans="1:30">
      <c r="A226" s="1" t="s">
        <v>540</v>
      </c>
      <c r="B226" t="s">
        <v>541</v>
      </c>
      <c r="C226" s="6">
        <v>70</v>
      </c>
      <c r="D226">
        <v>1</v>
      </c>
      <c r="E226">
        <v>9.29</v>
      </c>
      <c r="F226">
        <v>1</v>
      </c>
      <c r="G226">
        <v>150</v>
      </c>
      <c r="H226" s="2">
        <v>60</v>
      </c>
      <c r="I226" s="3">
        <f t="shared" si="4"/>
        <v>26.6666666666667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3</v>
      </c>
      <c r="Q226">
        <v>1</v>
      </c>
      <c r="R226">
        <v>1</v>
      </c>
      <c r="S226">
        <v>18</v>
      </c>
      <c r="T226">
        <v>4</v>
      </c>
      <c r="U226">
        <v>4</v>
      </c>
      <c r="V226">
        <v>1</v>
      </c>
      <c r="W226">
        <v>1</v>
      </c>
      <c r="X226" t="s">
        <v>48</v>
      </c>
      <c r="Y226">
        <v>2</v>
      </c>
      <c r="Z226" t="s">
        <v>37</v>
      </c>
      <c r="AA226">
        <v>15.22</v>
      </c>
      <c r="AB226">
        <v>4.75</v>
      </c>
      <c r="AC226">
        <v>53.83</v>
      </c>
    </row>
    <row r="227" spans="1:30">
      <c r="A227" s="1" t="s">
        <v>542</v>
      </c>
      <c r="B227" t="s">
        <v>543</v>
      </c>
      <c r="C227" s="6">
        <v>62</v>
      </c>
      <c r="D227">
        <v>0</v>
      </c>
      <c r="E227">
        <v>9.17</v>
      </c>
      <c r="F227">
        <v>1</v>
      </c>
      <c r="G227">
        <v>158</v>
      </c>
      <c r="H227" s="2">
        <v>56</v>
      </c>
      <c r="I227" s="3">
        <f t="shared" si="4"/>
        <v>22.4323025156225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5</v>
      </c>
      <c r="P227">
        <v>3</v>
      </c>
      <c r="Q227">
        <v>0</v>
      </c>
      <c r="R227">
        <v>1</v>
      </c>
      <c r="S227">
        <v>19</v>
      </c>
      <c r="T227">
        <v>4</v>
      </c>
      <c r="U227">
        <v>4</v>
      </c>
      <c r="V227">
        <v>0</v>
      </c>
      <c r="W227">
        <v>0</v>
      </c>
      <c r="X227" t="s">
        <v>34</v>
      </c>
      <c r="Y227">
        <v>2</v>
      </c>
      <c r="Z227" t="s">
        <v>37</v>
      </c>
      <c r="AA227">
        <v>17.75</v>
      </c>
      <c r="AB227">
        <v>10.91</v>
      </c>
      <c r="AC227">
        <v>132.01</v>
      </c>
    </row>
    <row r="228" spans="1:30">
      <c r="A228" s="1" t="s">
        <v>544</v>
      </c>
      <c r="B228" t="s">
        <v>545</v>
      </c>
      <c r="C228" s="6">
        <v>65</v>
      </c>
      <c r="D228">
        <v>1</v>
      </c>
      <c r="E228">
        <v>1.94</v>
      </c>
      <c r="F228">
        <v>1</v>
      </c>
      <c r="G228">
        <v>170</v>
      </c>
      <c r="H228" s="2">
        <v>69</v>
      </c>
      <c r="I228" s="3">
        <f t="shared" si="4"/>
        <v>23.8754325259516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3</v>
      </c>
      <c r="P228">
        <v>3</v>
      </c>
      <c r="Q228">
        <v>1</v>
      </c>
      <c r="R228">
        <v>1</v>
      </c>
      <c r="S228">
        <v>12</v>
      </c>
      <c r="T228">
        <v>6</v>
      </c>
      <c r="U228">
        <v>5</v>
      </c>
      <c r="V228">
        <v>0</v>
      </c>
      <c r="W228">
        <v>1</v>
      </c>
      <c r="X228" t="s">
        <v>48</v>
      </c>
      <c r="Y228">
        <v>3</v>
      </c>
      <c r="Z228" t="s">
        <v>37</v>
      </c>
      <c r="AA228">
        <v>18.19</v>
      </c>
      <c r="AB228">
        <v>8.04</v>
      </c>
      <c r="AC228">
        <v>129.36</v>
      </c>
    </row>
    <row r="229" spans="1:30">
      <c r="A229" s="1" t="s">
        <v>546</v>
      </c>
      <c r="B229" t="s">
        <v>547</v>
      </c>
      <c r="C229" s="6">
        <v>63</v>
      </c>
      <c r="D229">
        <v>0</v>
      </c>
      <c r="E229">
        <v>8.41</v>
      </c>
      <c r="F229">
        <v>1</v>
      </c>
      <c r="G229">
        <v>165</v>
      </c>
      <c r="H229" s="2">
        <v>73</v>
      </c>
      <c r="I229" s="3">
        <f t="shared" si="4"/>
        <v>26.8135904499541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3</v>
      </c>
      <c r="Q229">
        <v>1</v>
      </c>
      <c r="R229">
        <v>1</v>
      </c>
      <c r="S229">
        <v>17</v>
      </c>
      <c r="T229">
        <v>4</v>
      </c>
      <c r="U229">
        <v>5</v>
      </c>
      <c r="V229">
        <v>1</v>
      </c>
      <c r="W229">
        <v>1</v>
      </c>
      <c r="X229" t="s">
        <v>48</v>
      </c>
      <c r="Y229">
        <v>3</v>
      </c>
      <c r="Z229" t="s">
        <v>37</v>
      </c>
      <c r="AA229">
        <v>24.41</v>
      </c>
      <c r="AB229">
        <v>8.58</v>
      </c>
      <c r="AC229">
        <v>90.52</v>
      </c>
      <c r="AD229" t="s">
        <v>548</v>
      </c>
    </row>
    <row r="230" spans="1:30">
      <c r="A230" s="1" t="s">
        <v>549</v>
      </c>
      <c r="B230" t="s">
        <v>550</v>
      </c>
      <c r="C230" s="6">
        <v>77</v>
      </c>
      <c r="D230">
        <v>1</v>
      </c>
      <c r="E230">
        <v>5.37</v>
      </c>
      <c r="F230">
        <v>1</v>
      </c>
      <c r="G230">
        <v>165</v>
      </c>
      <c r="H230" s="2">
        <v>68</v>
      </c>
      <c r="I230" s="3">
        <f t="shared" si="4"/>
        <v>24.9770431588613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3</v>
      </c>
      <c r="P230">
        <v>3</v>
      </c>
      <c r="Q230">
        <v>1</v>
      </c>
      <c r="R230">
        <v>1</v>
      </c>
      <c r="S230">
        <v>15</v>
      </c>
      <c r="T230">
        <v>5</v>
      </c>
      <c r="U230">
        <v>4</v>
      </c>
      <c r="V230">
        <v>0</v>
      </c>
      <c r="W230">
        <v>0</v>
      </c>
      <c r="X230" t="s">
        <v>48</v>
      </c>
      <c r="Y230">
        <v>2</v>
      </c>
      <c r="Z230" t="s">
        <v>34</v>
      </c>
      <c r="AA230">
        <v>17.03</v>
      </c>
      <c r="AB230">
        <v>11.08</v>
      </c>
      <c r="AC230">
        <v>110.47</v>
      </c>
    </row>
    <row r="231" spans="1:30">
      <c r="A231" s="1" t="s">
        <v>551</v>
      </c>
      <c r="B231" t="s">
        <v>552</v>
      </c>
      <c r="C231" s="6">
        <v>55</v>
      </c>
      <c r="D231">
        <v>1</v>
      </c>
      <c r="E231">
        <v>6.87</v>
      </c>
      <c r="F231">
        <v>1</v>
      </c>
      <c r="G231">
        <v>160</v>
      </c>
      <c r="H231" s="2">
        <v>56</v>
      </c>
      <c r="I231" s="3">
        <f t="shared" si="4"/>
        <v>21.875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8</v>
      </c>
      <c r="T231">
        <v>7</v>
      </c>
      <c r="U231">
        <v>5</v>
      </c>
      <c r="V231">
        <v>0</v>
      </c>
      <c r="W231">
        <v>1</v>
      </c>
      <c r="X231" t="s">
        <v>48</v>
      </c>
      <c r="Y231">
        <v>3</v>
      </c>
      <c r="Z231" t="s">
        <v>37</v>
      </c>
      <c r="AA231">
        <v>18.1</v>
      </c>
      <c r="AB231">
        <v>9.41</v>
      </c>
      <c r="AC231">
        <v>82.76</v>
      </c>
    </row>
    <row r="232" spans="1:30">
      <c r="A232" s="1" t="s">
        <v>553</v>
      </c>
      <c r="B232" t="s">
        <v>554</v>
      </c>
      <c r="C232" s="6">
        <v>81</v>
      </c>
      <c r="D232">
        <v>0</v>
      </c>
      <c r="E232">
        <v>8.05</v>
      </c>
      <c r="F232">
        <v>1</v>
      </c>
      <c r="G232">
        <v>173</v>
      </c>
      <c r="H232" s="2">
        <v>60</v>
      </c>
      <c r="I232" s="3">
        <f t="shared" si="4"/>
        <v>20.0474456213038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5</v>
      </c>
      <c r="P232">
        <v>3</v>
      </c>
      <c r="Q232">
        <v>1</v>
      </c>
      <c r="R232">
        <v>1</v>
      </c>
      <c r="S232">
        <v>15</v>
      </c>
      <c r="T232">
        <v>5</v>
      </c>
      <c r="U232">
        <v>4</v>
      </c>
      <c r="V232">
        <v>0</v>
      </c>
      <c r="W232">
        <v>1</v>
      </c>
      <c r="X232" t="s">
        <v>34</v>
      </c>
      <c r="Y232">
        <v>2</v>
      </c>
      <c r="Z232" t="s">
        <v>34</v>
      </c>
      <c r="AA232">
        <v>17.75</v>
      </c>
      <c r="AB232">
        <v>7.14</v>
      </c>
      <c r="AC232">
        <v>87.93</v>
      </c>
    </row>
    <row r="233" spans="1:30">
      <c r="A233" s="1" t="s">
        <v>555</v>
      </c>
      <c r="B233" t="s">
        <v>556</v>
      </c>
      <c r="C233" s="6">
        <v>39</v>
      </c>
      <c r="D233">
        <v>0</v>
      </c>
      <c r="E233">
        <v>3.98</v>
      </c>
      <c r="F233">
        <v>1</v>
      </c>
      <c r="G233">
        <v>170</v>
      </c>
      <c r="H233" s="2">
        <v>75</v>
      </c>
      <c r="I233" s="3">
        <f t="shared" si="4"/>
        <v>25.9515570934256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3</v>
      </c>
      <c r="P233">
        <v>3</v>
      </c>
      <c r="Q233">
        <v>1</v>
      </c>
      <c r="R233">
        <v>1</v>
      </c>
      <c r="S233">
        <v>13</v>
      </c>
      <c r="T233">
        <v>6</v>
      </c>
      <c r="U233">
        <v>4</v>
      </c>
      <c r="V233">
        <v>0</v>
      </c>
      <c r="W233">
        <v>0</v>
      </c>
      <c r="X233" t="s">
        <v>34</v>
      </c>
      <c r="Y233">
        <v>2</v>
      </c>
      <c r="Z233" t="s">
        <v>37</v>
      </c>
      <c r="AA233">
        <v>18.43</v>
      </c>
      <c r="AB233">
        <v>5.72</v>
      </c>
      <c r="AC233">
        <v>101.15</v>
      </c>
    </row>
    <row r="234" spans="1:30">
      <c r="A234" s="1" t="s">
        <v>557</v>
      </c>
      <c r="B234" t="s">
        <v>558</v>
      </c>
      <c r="C234" s="6">
        <v>60</v>
      </c>
      <c r="D234">
        <v>0</v>
      </c>
      <c r="E234">
        <v>7.12</v>
      </c>
      <c r="F234">
        <v>1</v>
      </c>
      <c r="G234">
        <v>160</v>
      </c>
      <c r="H234" s="2">
        <v>56</v>
      </c>
      <c r="I234" s="3">
        <f t="shared" si="4"/>
        <v>21.875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2</v>
      </c>
      <c r="P234">
        <v>0</v>
      </c>
      <c r="Q234">
        <v>1</v>
      </c>
      <c r="R234">
        <v>1</v>
      </c>
      <c r="S234">
        <v>9</v>
      </c>
      <c r="T234">
        <v>7</v>
      </c>
      <c r="U234">
        <v>3</v>
      </c>
      <c r="V234">
        <v>0</v>
      </c>
      <c r="W234">
        <v>1</v>
      </c>
      <c r="X234" t="s">
        <v>51</v>
      </c>
      <c r="Y234">
        <v>2</v>
      </c>
      <c r="Z234" t="s">
        <v>37</v>
      </c>
      <c r="AA234">
        <v>19.87</v>
      </c>
      <c r="AB234">
        <v>13.56</v>
      </c>
      <c r="AC234">
        <v>116.06</v>
      </c>
    </row>
    <row r="235" spans="1:30">
      <c r="A235" s="1" t="s">
        <v>559</v>
      </c>
      <c r="B235" t="s">
        <v>560</v>
      </c>
      <c r="C235" s="6">
        <v>28</v>
      </c>
      <c r="D235">
        <v>0</v>
      </c>
      <c r="E235">
        <v>3.97</v>
      </c>
      <c r="F235">
        <v>1</v>
      </c>
      <c r="G235">
        <v>172</v>
      </c>
      <c r="H235" s="2">
        <v>65</v>
      </c>
      <c r="I235" s="3">
        <f t="shared" si="4"/>
        <v>21.9713358572201</v>
      </c>
      <c r="J235">
        <v>0</v>
      </c>
      <c r="K235">
        <v>1</v>
      </c>
      <c r="L235">
        <v>1</v>
      </c>
      <c r="M235">
        <v>0</v>
      </c>
      <c r="N235">
        <v>1</v>
      </c>
      <c r="O235">
        <v>4</v>
      </c>
      <c r="P235">
        <v>3</v>
      </c>
      <c r="Q235">
        <v>1</v>
      </c>
      <c r="R235">
        <v>1</v>
      </c>
      <c r="S235">
        <v>12</v>
      </c>
      <c r="T235">
        <v>6</v>
      </c>
      <c r="U235">
        <v>4</v>
      </c>
      <c r="V235">
        <v>1</v>
      </c>
      <c r="W235">
        <v>1</v>
      </c>
      <c r="X235" t="s">
        <v>33</v>
      </c>
      <c r="Y235">
        <v>2</v>
      </c>
      <c r="Z235" t="s">
        <v>34</v>
      </c>
      <c r="AA235">
        <v>16.21</v>
      </c>
      <c r="AB235">
        <v>12.27</v>
      </c>
      <c r="AC235">
        <v>135.3</v>
      </c>
      <c r="AD235" t="s">
        <v>561</v>
      </c>
    </row>
    <row r="236" spans="1:30">
      <c r="A236" s="1" t="s">
        <v>562</v>
      </c>
      <c r="B236" t="s">
        <v>563</v>
      </c>
      <c r="C236" s="6">
        <v>75</v>
      </c>
      <c r="D236">
        <v>1</v>
      </c>
      <c r="E236">
        <v>-0.48</v>
      </c>
      <c r="F236">
        <v>1</v>
      </c>
      <c r="G236">
        <v>166</v>
      </c>
      <c r="H236" s="2">
        <v>60</v>
      </c>
      <c r="I236" s="3">
        <f t="shared" si="4"/>
        <v>21.7738423573813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4</v>
      </c>
      <c r="P236">
        <v>3</v>
      </c>
      <c r="Q236">
        <v>1</v>
      </c>
      <c r="R236">
        <v>1</v>
      </c>
      <c r="S236">
        <v>16</v>
      </c>
      <c r="T236">
        <v>7</v>
      </c>
      <c r="U236">
        <v>3</v>
      </c>
      <c r="V236">
        <v>0</v>
      </c>
      <c r="W236">
        <v>0</v>
      </c>
      <c r="X236" t="s">
        <v>33</v>
      </c>
      <c r="Y236">
        <v>1</v>
      </c>
      <c r="Z236" t="s">
        <v>34</v>
      </c>
      <c r="AA236">
        <v>18.47</v>
      </c>
      <c r="AB236">
        <v>9.71</v>
      </c>
      <c r="AC236">
        <v>178.98</v>
      </c>
    </row>
    <row r="237" spans="1:30">
      <c r="A237" s="1" t="s">
        <v>564</v>
      </c>
      <c r="B237" t="s">
        <v>565</v>
      </c>
      <c r="C237" s="6">
        <v>61</v>
      </c>
      <c r="D237">
        <v>0</v>
      </c>
      <c r="E237">
        <v>3.97</v>
      </c>
      <c r="F237">
        <v>1</v>
      </c>
      <c r="G237">
        <v>166</v>
      </c>
      <c r="H237" s="2">
        <v>56</v>
      </c>
      <c r="I237" s="3">
        <f t="shared" si="4"/>
        <v>20.3222528668892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2</v>
      </c>
      <c r="P237">
        <v>2</v>
      </c>
      <c r="Q237">
        <v>1</v>
      </c>
      <c r="R237">
        <v>1</v>
      </c>
      <c r="S237">
        <v>15</v>
      </c>
      <c r="T237">
        <v>5</v>
      </c>
      <c r="U237">
        <v>4</v>
      </c>
      <c r="V237">
        <v>1</v>
      </c>
      <c r="W237">
        <v>1</v>
      </c>
      <c r="X237" t="s">
        <v>48</v>
      </c>
      <c r="Y237">
        <v>2</v>
      </c>
      <c r="Z237" t="s">
        <v>37</v>
      </c>
      <c r="AA237">
        <v>14.15</v>
      </c>
      <c r="AB237">
        <v>8.89</v>
      </c>
      <c r="AC237">
        <v>123.73</v>
      </c>
    </row>
    <row r="238" spans="1:30">
      <c r="A238" s="1" t="s">
        <v>566</v>
      </c>
      <c r="B238" t="s">
        <v>567</v>
      </c>
      <c r="C238" s="6">
        <v>61</v>
      </c>
      <c r="D238">
        <v>1</v>
      </c>
      <c r="E238">
        <v>3.86</v>
      </c>
      <c r="F238">
        <v>1</v>
      </c>
      <c r="G238">
        <v>165</v>
      </c>
      <c r="H238" s="2">
        <v>70</v>
      </c>
      <c r="I238" s="3">
        <f t="shared" si="4"/>
        <v>25.7116620752984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5</v>
      </c>
      <c r="P238">
        <v>3</v>
      </c>
      <c r="Q238">
        <v>1</v>
      </c>
      <c r="R238">
        <v>1</v>
      </c>
      <c r="S238">
        <v>17</v>
      </c>
      <c r="T238">
        <v>8</v>
      </c>
      <c r="U238">
        <v>5</v>
      </c>
      <c r="V238">
        <v>0</v>
      </c>
      <c r="W238">
        <v>1</v>
      </c>
      <c r="X238" t="s">
        <v>34</v>
      </c>
      <c r="Y238">
        <v>2</v>
      </c>
      <c r="Z238" t="s">
        <v>37</v>
      </c>
      <c r="AA238">
        <v>17.63</v>
      </c>
      <c r="AB238">
        <v>9</v>
      </c>
      <c r="AC238">
        <v>80.83</v>
      </c>
    </row>
    <row r="239" spans="1:30">
      <c r="A239" s="1" t="s">
        <v>568</v>
      </c>
      <c r="B239" t="s">
        <v>569</v>
      </c>
      <c r="C239" s="6">
        <v>36</v>
      </c>
      <c r="D239">
        <v>0</v>
      </c>
      <c r="E239">
        <v>5.92</v>
      </c>
      <c r="F239">
        <v>1</v>
      </c>
      <c r="G239">
        <v>170</v>
      </c>
      <c r="H239" s="2">
        <v>70</v>
      </c>
      <c r="I239" s="3">
        <f t="shared" si="4"/>
        <v>24.2214532871972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3</v>
      </c>
      <c r="P239">
        <v>5</v>
      </c>
      <c r="Q239">
        <v>1</v>
      </c>
      <c r="R239">
        <v>1</v>
      </c>
      <c r="S239">
        <v>16</v>
      </c>
      <c r="T239">
        <v>4</v>
      </c>
      <c r="U239">
        <v>4</v>
      </c>
      <c r="V239">
        <v>0</v>
      </c>
      <c r="W239">
        <v>1</v>
      </c>
      <c r="X239" t="s">
        <v>33</v>
      </c>
      <c r="Y239">
        <v>2</v>
      </c>
      <c r="Z239" t="s">
        <v>37</v>
      </c>
      <c r="AA239">
        <v>16.07</v>
      </c>
      <c r="AB239">
        <v>6.09</v>
      </c>
      <c r="AC239">
        <v>121.17</v>
      </c>
      <c r="AD239" t="s">
        <v>570</v>
      </c>
    </row>
    <row r="240" spans="1:30">
      <c r="A240" s="1" t="s">
        <v>571</v>
      </c>
      <c r="B240" t="s">
        <v>572</v>
      </c>
      <c r="C240" s="6">
        <v>82</v>
      </c>
      <c r="D240">
        <v>0</v>
      </c>
      <c r="E240">
        <v>4.2</v>
      </c>
      <c r="F240">
        <v>1</v>
      </c>
      <c r="G240">
        <v>172</v>
      </c>
      <c r="H240" s="2">
        <v>97.5</v>
      </c>
      <c r="I240" s="3">
        <f t="shared" si="4"/>
        <v>32.9570037858302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2</v>
      </c>
      <c r="P240">
        <v>0</v>
      </c>
      <c r="Q240">
        <v>1</v>
      </c>
      <c r="R240">
        <v>1</v>
      </c>
      <c r="S240">
        <v>12</v>
      </c>
      <c r="T240">
        <v>5</v>
      </c>
      <c r="U240">
        <v>4</v>
      </c>
      <c r="V240">
        <v>0</v>
      </c>
      <c r="W240">
        <v>1</v>
      </c>
      <c r="X240" t="s">
        <v>48</v>
      </c>
      <c r="Y240">
        <v>3</v>
      </c>
      <c r="Z240" t="s">
        <v>37</v>
      </c>
      <c r="AA240">
        <v>15.73</v>
      </c>
      <c r="AB240">
        <v>5.59</v>
      </c>
      <c r="AC240">
        <v>88.35</v>
      </c>
    </row>
    <row r="241" spans="1:31">
      <c r="A241" s="1" t="s">
        <v>573</v>
      </c>
      <c r="B241" t="s">
        <v>574</v>
      </c>
      <c r="C241" s="6">
        <v>57</v>
      </c>
      <c r="D241">
        <v>0</v>
      </c>
      <c r="E241">
        <v>1.72</v>
      </c>
      <c r="F241">
        <v>1</v>
      </c>
      <c r="G241">
        <v>165</v>
      </c>
      <c r="H241" s="2">
        <v>58</v>
      </c>
      <c r="I241" s="3">
        <f t="shared" si="4"/>
        <v>21.3039485766759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5</v>
      </c>
      <c r="P241">
        <v>3</v>
      </c>
      <c r="Q241">
        <v>1</v>
      </c>
      <c r="R241">
        <v>1</v>
      </c>
      <c r="S241">
        <v>12</v>
      </c>
      <c r="T241">
        <v>7</v>
      </c>
      <c r="U241">
        <v>4</v>
      </c>
      <c r="V241">
        <v>1</v>
      </c>
      <c r="W241">
        <v>1</v>
      </c>
      <c r="X241" t="s">
        <v>33</v>
      </c>
      <c r="Y241">
        <v>2</v>
      </c>
      <c r="Z241" t="s">
        <v>34</v>
      </c>
      <c r="AA241">
        <v>19.14</v>
      </c>
      <c r="AB241">
        <v>9.98</v>
      </c>
      <c r="AC241">
        <v>169.96</v>
      </c>
      <c r="AD241" t="s">
        <v>575</v>
      </c>
    </row>
    <row r="242" spans="1:31">
      <c r="A242" s="1" t="s">
        <v>576</v>
      </c>
      <c r="B242" t="s">
        <v>577</v>
      </c>
      <c r="C242" s="6">
        <v>65</v>
      </c>
      <c r="D242">
        <v>0</v>
      </c>
      <c r="E242">
        <v>10.75</v>
      </c>
      <c r="F242">
        <v>0</v>
      </c>
      <c r="G242">
        <v>160</v>
      </c>
      <c r="H242" s="2">
        <v>59</v>
      </c>
      <c r="I242" s="3">
        <f t="shared" si="4"/>
        <v>23.046875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5</v>
      </c>
      <c r="P242">
        <v>5</v>
      </c>
      <c r="Q242">
        <v>1</v>
      </c>
      <c r="R242">
        <v>1</v>
      </c>
      <c r="S242">
        <v>19</v>
      </c>
      <c r="T242">
        <v>6</v>
      </c>
      <c r="U242">
        <v>4</v>
      </c>
      <c r="V242">
        <v>0</v>
      </c>
      <c r="W242">
        <v>1</v>
      </c>
      <c r="X242" t="s">
        <v>48</v>
      </c>
      <c r="Y242">
        <v>2</v>
      </c>
      <c r="Z242" t="s">
        <v>37</v>
      </c>
      <c r="AA242">
        <v>14.27</v>
      </c>
      <c r="AB242">
        <v>8.77</v>
      </c>
      <c r="AC242">
        <v>40.2</v>
      </c>
      <c r="AD242">
        <v>92</v>
      </c>
    </row>
    <row r="243" spans="1:31">
      <c r="A243" s="1" t="s">
        <v>578</v>
      </c>
      <c r="B243" t="s">
        <v>579</v>
      </c>
      <c r="C243" s="6">
        <v>59</v>
      </c>
      <c r="D243">
        <v>0</v>
      </c>
      <c r="E243">
        <v>6.29</v>
      </c>
      <c r="F243">
        <v>0</v>
      </c>
      <c r="G243">
        <v>160</v>
      </c>
      <c r="H243" s="2">
        <v>52</v>
      </c>
      <c r="I243" s="3">
        <f t="shared" si="4"/>
        <v>20.3125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5</v>
      </c>
      <c r="P243">
        <v>5</v>
      </c>
      <c r="Q243">
        <v>1</v>
      </c>
      <c r="R243">
        <v>1</v>
      </c>
      <c r="S243">
        <v>16</v>
      </c>
      <c r="T243">
        <v>5</v>
      </c>
      <c r="U243">
        <v>4</v>
      </c>
      <c r="V243">
        <v>0</v>
      </c>
      <c r="W243">
        <v>0</v>
      </c>
      <c r="X243" t="s">
        <v>33</v>
      </c>
      <c r="Y243">
        <v>1</v>
      </c>
      <c r="Z243" t="s">
        <v>34</v>
      </c>
      <c r="AA243">
        <v>14.47</v>
      </c>
      <c r="AB243">
        <v>8.17</v>
      </c>
      <c r="AC243">
        <v>94.98</v>
      </c>
      <c r="AD243" t="s">
        <v>580</v>
      </c>
    </row>
    <row r="244" spans="1:31">
      <c r="A244" s="1" t="s">
        <v>581</v>
      </c>
      <c r="B244" t="s">
        <v>582</v>
      </c>
      <c r="C244" s="6">
        <v>51</v>
      </c>
      <c r="D244">
        <v>1</v>
      </c>
      <c r="E244">
        <v>4.58</v>
      </c>
      <c r="F244">
        <v>0</v>
      </c>
      <c r="G244">
        <v>165</v>
      </c>
      <c r="H244" s="2">
        <v>63</v>
      </c>
      <c r="I244" s="3">
        <f t="shared" si="4"/>
        <v>23.1404958677686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5</v>
      </c>
      <c r="P244">
        <v>5</v>
      </c>
      <c r="Q244">
        <v>1</v>
      </c>
      <c r="R244">
        <v>1</v>
      </c>
      <c r="S244">
        <v>17</v>
      </c>
      <c r="T244">
        <v>6</v>
      </c>
      <c r="U244">
        <v>4</v>
      </c>
      <c r="V244">
        <v>1</v>
      </c>
      <c r="W244">
        <v>0</v>
      </c>
      <c r="X244" t="s">
        <v>33</v>
      </c>
      <c r="Y244">
        <v>2</v>
      </c>
      <c r="Z244" t="s">
        <v>34</v>
      </c>
      <c r="AA244">
        <v>15.65</v>
      </c>
      <c r="AB244">
        <v>12.45</v>
      </c>
      <c r="AC244">
        <v>145.38</v>
      </c>
    </row>
    <row r="245" spans="1:31">
      <c r="A245" s="1" t="s">
        <v>583</v>
      </c>
      <c r="B245" t="s">
        <v>584</v>
      </c>
      <c r="C245" s="6">
        <v>75</v>
      </c>
      <c r="D245">
        <v>0</v>
      </c>
      <c r="E245">
        <v>4.65</v>
      </c>
      <c r="F245">
        <v>0</v>
      </c>
      <c r="G245">
        <v>165</v>
      </c>
      <c r="H245" s="2">
        <v>65</v>
      </c>
      <c r="I245" s="3">
        <f t="shared" si="4"/>
        <v>23.8751147842057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5</v>
      </c>
      <c r="Q245">
        <v>1</v>
      </c>
      <c r="R245">
        <v>0</v>
      </c>
      <c r="S245">
        <v>16</v>
      </c>
      <c r="T245">
        <v>6</v>
      </c>
      <c r="U245">
        <v>4</v>
      </c>
      <c r="V245">
        <v>1</v>
      </c>
      <c r="W245">
        <v>0</v>
      </c>
      <c r="X245" t="s">
        <v>51</v>
      </c>
      <c r="Y245">
        <v>2</v>
      </c>
      <c r="Z245" t="s">
        <v>37</v>
      </c>
      <c r="AA245">
        <v>14.92</v>
      </c>
      <c r="AB245">
        <v>7.69</v>
      </c>
      <c r="AC245">
        <v>75.7</v>
      </c>
    </row>
    <row r="246" spans="1:31">
      <c r="A246" s="1" t="s">
        <v>486</v>
      </c>
      <c r="B246" t="s">
        <v>487</v>
      </c>
      <c r="C246" s="6">
        <v>37</v>
      </c>
      <c r="D246">
        <v>0</v>
      </c>
      <c r="E246">
        <v>3.82</v>
      </c>
      <c r="F246">
        <v>0</v>
      </c>
      <c r="G246">
        <v>172</v>
      </c>
      <c r="H246" s="2">
        <v>60</v>
      </c>
      <c r="I246" s="3">
        <f t="shared" si="4"/>
        <v>20.2812330989724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5</v>
      </c>
      <c r="P246">
        <v>5</v>
      </c>
      <c r="Q246">
        <v>1</v>
      </c>
      <c r="R246">
        <v>1</v>
      </c>
      <c r="S246">
        <v>16</v>
      </c>
      <c r="T246">
        <v>4</v>
      </c>
      <c r="U246">
        <v>4</v>
      </c>
      <c r="V246">
        <v>0</v>
      </c>
      <c r="W246">
        <v>1</v>
      </c>
      <c r="X246" t="s">
        <v>34</v>
      </c>
      <c r="Y246">
        <v>2</v>
      </c>
      <c r="Z246" t="s">
        <v>37</v>
      </c>
      <c r="AA246">
        <v>18.73</v>
      </c>
      <c r="AB246">
        <v>11.27</v>
      </c>
      <c r="AC246">
        <v>134.79</v>
      </c>
    </row>
    <row r="247" spans="1:31">
      <c r="A247" s="1" t="s">
        <v>585</v>
      </c>
      <c r="B247" t="s">
        <v>586</v>
      </c>
      <c r="C247" s="6">
        <v>52</v>
      </c>
      <c r="D247">
        <v>0</v>
      </c>
      <c r="E247">
        <v>6.05</v>
      </c>
      <c r="F247">
        <v>0</v>
      </c>
      <c r="G247">
        <v>162</v>
      </c>
      <c r="H247" s="2">
        <v>62</v>
      </c>
      <c r="I247" s="3">
        <f t="shared" si="4"/>
        <v>23.6244474927602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5</v>
      </c>
      <c r="P247">
        <v>5</v>
      </c>
      <c r="Q247">
        <v>1</v>
      </c>
      <c r="R247">
        <v>1</v>
      </c>
      <c r="S247">
        <v>13</v>
      </c>
      <c r="T247">
        <v>6</v>
      </c>
      <c r="U247">
        <v>5</v>
      </c>
      <c r="V247">
        <v>1</v>
      </c>
      <c r="W247">
        <v>0</v>
      </c>
      <c r="X247" t="s">
        <v>51</v>
      </c>
      <c r="Y247">
        <v>2</v>
      </c>
      <c r="Z247" t="s">
        <v>37</v>
      </c>
      <c r="AA247">
        <v>17.98</v>
      </c>
      <c r="AB247">
        <v>6.21</v>
      </c>
      <c r="AC247">
        <v>72.53</v>
      </c>
    </row>
    <row r="248" spans="1:31">
      <c r="A248" s="1" t="s">
        <v>587</v>
      </c>
      <c r="B248" t="s">
        <v>588</v>
      </c>
      <c r="C248" s="6">
        <v>27</v>
      </c>
      <c r="D248">
        <v>0</v>
      </c>
      <c r="E248">
        <v>4.86</v>
      </c>
      <c r="F248">
        <v>1</v>
      </c>
      <c r="G248">
        <v>160</v>
      </c>
      <c r="H248" s="2">
        <v>71</v>
      </c>
      <c r="I248" s="3">
        <f t="shared" si="4"/>
        <v>27.734375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5</v>
      </c>
      <c r="P248">
        <v>3</v>
      </c>
      <c r="Q248">
        <v>1</v>
      </c>
      <c r="R248">
        <v>1</v>
      </c>
      <c r="S248">
        <v>15</v>
      </c>
      <c r="T248">
        <v>3</v>
      </c>
      <c r="U248">
        <v>4</v>
      </c>
      <c r="V248">
        <v>1</v>
      </c>
      <c r="W248">
        <v>1</v>
      </c>
      <c r="X248" t="s">
        <v>48</v>
      </c>
      <c r="Y248">
        <v>2</v>
      </c>
      <c r="Z248" t="s">
        <v>37</v>
      </c>
      <c r="AA248">
        <v>17.01</v>
      </c>
      <c r="AB248">
        <v>6.9</v>
      </c>
      <c r="AC248">
        <v>124.32</v>
      </c>
    </row>
    <row r="249" spans="1:31">
      <c r="A249" s="1" t="s">
        <v>589</v>
      </c>
      <c r="B249" t="s">
        <v>590</v>
      </c>
      <c r="C249" s="6">
        <v>60</v>
      </c>
      <c r="D249">
        <v>1</v>
      </c>
      <c r="E249">
        <v>5.18</v>
      </c>
      <c r="F249">
        <v>0</v>
      </c>
      <c r="G249">
        <v>155</v>
      </c>
      <c r="H249" s="2">
        <v>58</v>
      </c>
      <c r="I249" s="3">
        <f t="shared" si="4"/>
        <v>24.1415192507804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5</v>
      </c>
      <c r="P249">
        <v>5</v>
      </c>
      <c r="Q249">
        <v>1</v>
      </c>
      <c r="R249">
        <v>1</v>
      </c>
      <c r="S249">
        <v>21</v>
      </c>
      <c r="T249">
        <v>3</v>
      </c>
      <c r="U249">
        <v>4</v>
      </c>
      <c r="V249">
        <v>0</v>
      </c>
      <c r="W249">
        <v>1</v>
      </c>
      <c r="X249" t="s">
        <v>48</v>
      </c>
      <c r="Y249">
        <v>2</v>
      </c>
      <c r="Z249" t="s">
        <v>37</v>
      </c>
      <c r="AA249">
        <v>17.58</v>
      </c>
      <c r="AB249">
        <v>6.37</v>
      </c>
      <c r="AC249">
        <v>82.55</v>
      </c>
      <c r="AD249" t="s">
        <v>591</v>
      </c>
      <c r="AE249" t="s">
        <v>592</v>
      </c>
    </row>
    <row r="250" spans="1:31">
      <c r="A250" s="1" t="s">
        <v>593</v>
      </c>
      <c r="B250" t="s">
        <v>594</v>
      </c>
      <c r="C250" s="6">
        <v>64</v>
      </c>
      <c r="D250">
        <v>0</v>
      </c>
      <c r="E250">
        <v>8.01</v>
      </c>
      <c r="F250">
        <v>0</v>
      </c>
      <c r="G250">
        <v>169</v>
      </c>
      <c r="H250" s="2">
        <v>67</v>
      </c>
      <c r="I250" s="3">
        <f t="shared" si="4"/>
        <v>23.458562375267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5</v>
      </c>
      <c r="P250">
        <v>5</v>
      </c>
      <c r="Q250">
        <v>1</v>
      </c>
      <c r="R250">
        <v>1</v>
      </c>
      <c r="S250">
        <v>19</v>
      </c>
      <c r="T250">
        <v>2</v>
      </c>
      <c r="U250">
        <v>4</v>
      </c>
      <c r="V250">
        <v>1</v>
      </c>
      <c r="W250">
        <v>1</v>
      </c>
      <c r="X250" t="s">
        <v>33</v>
      </c>
      <c r="Y250">
        <v>2</v>
      </c>
      <c r="Z250" t="s">
        <v>34</v>
      </c>
      <c r="AA250">
        <v>21.83</v>
      </c>
      <c r="AB250">
        <v>9.85</v>
      </c>
      <c r="AC250">
        <v>216.36</v>
      </c>
    </row>
    <row r="251" spans="1:31">
      <c r="A251" s="1" t="s">
        <v>595</v>
      </c>
      <c r="B251" t="s">
        <v>596</v>
      </c>
      <c r="C251" s="6">
        <v>56</v>
      </c>
      <c r="D251">
        <v>1</v>
      </c>
      <c r="E251">
        <v>4.29</v>
      </c>
      <c r="F251">
        <v>0</v>
      </c>
      <c r="G251">
        <v>156</v>
      </c>
      <c r="H251" s="2">
        <v>60</v>
      </c>
      <c r="I251" s="3">
        <f t="shared" si="4"/>
        <v>24.65483234714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5</v>
      </c>
      <c r="Q251">
        <v>1</v>
      </c>
      <c r="R251">
        <v>1</v>
      </c>
      <c r="S251">
        <v>15</v>
      </c>
      <c r="T251">
        <v>5</v>
      </c>
      <c r="U251">
        <v>3</v>
      </c>
      <c r="V251">
        <v>0</v>
      </c>
      <c r="W251">
        <v>0</v>
      </c>
      <c r="X251" t="s">
        <v>48</v>
      </c>
      <c r="Y251">
        <v>2</v>
      </c>
      <c r="Z251" t="s">
        <v>37</v>
      </c>
      <c r="AA251">
        <v>15.53</v>
      </c>
      <c r="AB251">
        <v>7.66</v>
      </c>
      <c r="AC251">
        <v>63</v>
      </c>
      <c r="AE251">
        <v>124</v>
      </c>
    </row>
    <row r="252" spans="1:31">
      <c r="A252" s="1" t="s">
        <v>597</v>
      </c>
      <c r="B252" t="s">
        <v>598</v>
      </c>
      <c r="C252" s="6">
        <v>53</v>
      </c>
      <c r="D252">
        <v>0</v>
      </c>
      <c r="E252">
        <v>1.4</v>
      </c>
      <c r="F252">
        <v>0</v>
      </c>
      <c r="G252">
        <v>175</v>
      </c>
      <c r="H252" s="2">
        <v>75</v>
      </c>
      <c r="I252" s="3">
        <f t="shared" si="4"/>
        <v>24.4897959183673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5</v>
      </c>
      <c r="P252">
        <v>5</v>
      </c>
      <c r="Q252">
        <v>1</v>
      </c>
      <c r="R252">
        <v>0</v>
      </c>
      <c r="S252">
        <v>18</v>
      </c>
      <c r="T252">
        <v>7</v>
      </c>
      <c r="U252">
        <v>4</v>
      </c>
      <c r="V252">
        <v>0</v>
      </c>
      <c r="W252">
        <v>1</v>
      </c>
      <c r="X252" t="s">
        <v>34</v>
      </c>
      <c r="Y252">
        <v>2</v>
      </c>
      <c r="Z252" t="s">
        <v>37</v>
      </c>
      <c r="AA252">
        <v>18.11</v>
      </c>
      <c r="AB252">
        <v>8.94</v>
      </c>
      <c r="AC252">
        <v>126.52</v>
      </c>
    </row>
    <row r="253" spans="1:31">
      <c r="A253" s="1" t="s">
        <v>599</v>
      </c>
      <c r="B253" t="s">
        <v>600</v>
      </c>
      <c r="C253" s="6">
        <v>35</v>
      </c>
      <c r="D253">
        <v>1</v>
      </c>
      <c r="E253">
        <v>4.94</v>
      </c>
      <c r="F253">
        <v>0</v>
      </c>
      <c r="G253">
        <v>158</v>
      </c>
      <c r="H253" s="2">
        <v>60</v>
      </c>
      <c r="I253" s="3">
        <f t="shared" si="4"/>
        <v>24.034609838167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5</v>
      </c>
      <c r="P253">
        <v>5</v>
      </c>
      <c r="Q253">
        <v>1</v>
      </c>
      <c r="R253">
        <v>1</v>
      </c>
      <c r="S253">
        <v>17</v>
      </c>
      <c r="T253">
        <v>3</v>
      </c>
      <c r="U253">
        <v>4</v>
      </c>
      <c r="V253">
        <v>0</v>
      </c>
      <c r="W253">
        <v>0</v>
      </c>
      <c r="X253" t="s">
        <v>48</v>
      </c>
      <c r="Y253">
        <v>2</v>
      </c>
      <c r="Z253" t="s">
        <v>33</v>
      </c>
      <c r="AA253">
        <v>15.71</v>
      </c>
      <c r="AB253">
        <v>9</v>
      </c>
      <c r="AC253">
        <v>93.27</v>
      </c>
    </row>
    <row r="254" spans="1:31">
      <c r="A254" s="1" t="s">
        <v>601</v>
      </c>
      <c r="B254" t="s">
        <v>397</v>
      </c>
      <c r="C254" s="6">
        <v>54</v>
      </c>
      <c r="D254">
        <v>1</v>
      </c>
      <c r="E254">
        <v>8.85</v>
      </c>
      <c r="F254">
        <v>0</v>
      </c>
      <c r="G254">
        <v>163</v>
      </c>
      <c r="H254" s="2">
        <v>76</v>
      </c>
      <c r="I254" s="3">
        <f t="shared" si="4"/>
        <v>28.6047649516354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5</v>
      </c>
      <c r="Q254">
        <v>1</v>
      </c>
      <c r="R254">
        <v>0</v>
      </c>
      <c r="S254">
        <v>18</v>
      </c>
      <c r="T254">
        <v>3</v>
      </c>
      <c r="U254">
        <v>4</v>
      </c>
      <c r="V254">
        <v>0</v>
      </c>
      <c r="W254">
        <v>1</v>
      </c>
      <c r="X254" t="s">
        <v>51</v>
      </c>
      <c r="Y254">
        <v>3</v>
      </c>
      <c r="Z254" t="s">
        <v>37</v>
      </c>
      <c r="AA254">
        <v>20.27</v>
      </c>
      <c r="AB254">
        <v>3.05</v>
      </c>
      <c r="AC254">
        <v>39.45</v>
      </c>
    </row>
    <row r="255" spans="1:31">
      <c r="A255" s="1" t="s">
        <v>602</v>
      </c>
      <c r="B255" t="s">
        <v>603</v>
      </c>
      <c r="C255" s="6">
        <v>56</v>
      </c>
      <c r="D255">
        <v>1</v>
      </c>
      <c r="E255">
        <v>4.35</v>
      </c>
      <c r="F255">
        <v>0</v>
      </c>
      <c r="G255">
        <v>152</v>
      </c>
      <c r="H255" s="2">
        <v>49</v>
      </c>
      <c r="I255" s="3">
        <f t="shared" si="4"/>
        <v>21.2084487534626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5</v>
      </c>
      <c r="Q255">
        <v>1</v>
      </c>
      <c r="R255">
        <v>0</v>
      </c>
      <c r="S255">
        <v>20</v>
      </c>
      <c r="T255">
        <v>3</v>
      </c>
      <c r="U255">
        <v>4</v>
      </c>
      <c r="V255">
        <v>0</v>
      </c>
      <c r="W255">
        <v>1</v>
      </c>
      <c r="X255" t="s">
        <v>48</v>
      </c>
      <c r="Y255">
        <v>2</v>
      </c>
      <c r="Z255" t="s">
        <v>37</v>
      </c>
      <c r="AA255">
        <v>12.32</v>
      </c>
      <c r="AB255">
        <v>6.42</v>
      </c>
      <c r="AC255">
        <v>79.17</v>
      </c>
    </row>
    <row r="256" spans="1:31">
      <c r="A256" s="1" t="s">
        <v>604</v>
      </c>
      <c r="B256" t="s">
        <v>605</v>
      </c>
      <c r="C256" s="6">
        <v>64</v>
      </c>
      <c r="D256">
        <v>0</v>
      </c>
      <c r="E256">
        <v>5.81</v>
      </c>
      <c r="F256">
        <v>0</v>
      </c>
      <c r="G256">
        <v>153</v>
      </c>
      <c r="H256" s="2">
        <v>67</v>
      </c>
      <c r="I256" s="3">
        <f t="shared" si="4"/>
        <v>28.6214703746422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</v>
      </c>
      <c r="P256">
        <v>5</v>
      </c>
      <c r="Q256">
        <v>1</v>
      </c>
      <c r="R256">
        <v>1</v>
      </c>
      <c r="S256">
        <v>19</v>
      </c>
      <c r="T256">
        <v>2</v>
      </c>
      <c r="U256">
        <v>3</v>
      </c>
      <c r="V256">
        <v>0</v>
      </c>
      <c r="W256">
        <v>0</v>
      </c>
      <c r="X256" t="s">
        <v>48</v>
      </c>
      <c r="Y256">
        <v>2</v>
      </c>
      <c r="Z256" t="s">
        <v>33</v>
      </c>
      <c r="AA256">
        <v>16.42</v>
      </c>
      <c r="AB256">
        <v>10.54</v>
      </c>
      <c r="AC256">
        <v>143.83</v>
      </c>
    </row>
    <row r="257" spans="1:30">
      <c r="A257" s="1" t="s">
        <v>606</v>
      </c>
      <c r="B257" t="s">
        <v>607</v>
      </c>
      <c r="C257" s="6">
        <v>58</v>
      </c>
      <c r="D257">
        <v>0</v>
      </c>
      <c r="E257">
        <v>4.33</v>
      </c>
      <c r="F257">
        <v>0</v>
      </c>
      <c r="G257">
        <v>167</v>
      </c>
      <c r="H257" s="2">
        <v>70</v>
      </c>
      <c r="I257" s="3">
        <f t="shared" si="4"/>
        <v>25.0995015956112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</v>
      </c>
      <c r="P257">
        <v>5</v>
      </c>
      <c r="Q257">
        <v>1</v>
      </c>
      <c r="R257">
        <v>1</v>
      </c>
      <c r="S257">
        <v>15</v>
      </c>
      <c r="T257">
        <v>5</v>
      </c>
      <c r="U257">
        <v>4</v>
      </c>
      <c r="V257">
        <v>1</v>
      </c>
      <c r="W257">
        <v>0</v>
      </c>
      <c r="X257" t="s">
        <v>33</v>
      </c>
      <c r="Y257">
        <v>2</v>
      </c>
      <c r="Z257" t="s">
        <v>37</v>
      </c>
      <c r="AA257">
        <v>16</v>
      </c>
      <c r="AB257">
        <v>10.47</v>
      </c>
      <c r="AC257">
        <v>140.09</v>
      </c>
    </row>
    <row r="258" spans="1:30">
      <c r="A258" s="1" t="s">
        <v>608</v>
      </c>
      <c r="B258" t="s">
        <v>609</v>
      </c>
      <c r="C258" s="6">
        <v>54</v>
      </c>
      <c r="D258">
        <v>0</v>
      </c>
      <c r="E258">
        <v>0.78</v>
      </c>
      <c r="F258">
        <v>0</v>
      </c>
      <c r="G258">
        <v>183</v>
      </c>
      <c r="H258" s="2">
        <v>88</v>
      </c>
      <c r="I258" s="3">
        <f t="shared" si="4"/>
        <v>26.2772850786825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5</v>
      </c>
      <c r="Q258">
        <v>1</v>
      </c>
      <c r="R258">
        <v>1</v>
      </c>
      <c r="S258">
        <v>14</v>
      </c>
      <c r="T258">
        <v>4</v>
      </c>
      <c r="U258">
        <v>3</v>
      </c>
      <c r="V258">
        <v>0</v>
      </c>
      <c r="W258">
        <v>1</v>
      </c>
      <c r="X258" t="s">
        <v>34</v>
      </c>
      <c r="Y258">
        <v>3</v>
      </c>
      <c r="Z258" t="s">
        <v>37</v>
      </c>
      <c r="AA258">
        <v>17.76</v>
      </c>
      <c r="AB258">
        <v>10.16</v>
      </c>
      <c r="AC258">
        <v>115.36</v>
      </c>
    </row>
    <row r="259" spans="1:30">
      <c r="A259" s="1" t="s">
        <v>610</v>
      </c>
      <c r="B259" t="s">
        <v>611</v>
      </c>
      <c r="C259" s="6">
        <v>49</v>
      </c>
      <c r="D259">
        <v>1</v>
      </c>
      <c r="E259">
        <v>2.79</v>
      </c>
      <c r="F259">
        <v>0</v>
      </c>
      <c r="G259">
        <v>163</v>
      </c>
      <c r="H259" s="2">
        <v>60</v>
      </c>
      <c r="I259" s="3">
        <f t="shared" si="4"/>
        <v>22.5827091723437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5</v>
      </c>
      <c r="P259">
        <v>5</v>
      </c>
      <c r="Q259">
        <v>1</v>
      </c>
      <c r="R259">
        <v>1</v>
      </c>
      <c r="S259">
        <v>15</v>
      </c>
      <c r="T259">
        <v>6</v>
      </c>
      <c r="U259">
        <v>3</v>
      </c>
      <c r="V259">
        <v>0</v>
      </c>
      <c r="W259">
        <v>1</v>
      </c>
      <c r="X259" t="s">
        <v>33</v>
      </c>
      <c r="Y259">
        <v>2</v>
      </c>
      <c r="Z259" t="s">
        <v>37</v>
      </c>
      <c r="AA259">
        <v>19.55</v>
      </c>
      <c r="AB259">
        <v>8.99</v>
      </c>
      <c r="AC259">
        <v>198.77</v>
      </c>
      <c r="AD259">
        <v>136</v>
      </c>
    </row>
    <row r="260" spans="1:30">
      <c r="A260" s="1" t="s">
        <v>612</v>
      </c>
      <c r="B260" t="s">
        <v>613</v>
      </c>
      <c r="C260" s="6">
        <v>85</v>
      </c>
      <c r="D260">
        <v>1</v>
      </c>
      <c r="E260">
        <v>4.95</v>
      </c>
      <c r="F260">
        <v>0</v>
      </c>
      <c r="G260">
        <v>165</v>
      </c>
      <c r="H260" s="2">
        <v>70</v>
      </c>
      <c r="I260" s="3">
        <f t="shared" si="4"/>
        <v>25.7116620752984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5</v>
      </c>
      <c r="P260">
        <v>5</v>
      </c>
      <c r="Q260">
        <v>1</v>
      </c>
      <c r="R260">
        <v>1</v>
      </c>
      <c r="S260">
        <v>18</v>
      </c>
      <c r="T260">
        <v>2</v>
      </c>
      <c r="U260">
        <v>4</v>
      </c>
      <c r="V260">
        <v>1</v>
      </c>
      <c r="W260">
        <v>0</v>
      </c>
      <c r="X260" t="s">
        <v>48</v>
      </c>
      <c r="Y260">
        <v>2</v>
      </c>
      <c r="Z260" t="s">
        <v>37</v>
      </c>
      <c r="AA260">
        <v>16.08</v>
      </c>
      <c r="AB260">
        <v>5.98</v>
      </c>
      <c r="AC260">
        <v>67.99</v>
      </c>
    </row>
    <row r="261" spans="1:30">
      <c r="A261" s="1" t="s">
        <v>614</v>
      </c>
      <c r="B261" t="s">
        <v>615</v>
      </c>
      <c r="C261" s="6">
        <v>57</v>
      </c>
      <c r="D261">
        <v>1</v>
      </c>
      <c r="E261">
        <v>4.61</v>
      </c>
      <c r="F261">
        <v>0</v>
      </c>
      <c r="G261">
        <v>166</v>
      </c>
      <c r="H261" s="2">
        <v>65</v>
      </c>
      <c r="I261" s="3">
        <f t="shared" si="4"/>
        <v>23.5883292204964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5</v>
      </c>
      <c r="P261">
        <v>4</v>
      </c>
      <c r="Q261">
        <v>1</v>
      </c>
      <c r="R261">
        <v>0</v>
      </c>
      <c r="S261">
        <v>18</v>
      </c>
      <c r="T261">
        <v>4</v>
      </c>
      <c r="U261">
        <v>3</v>
      </c>
      <c r="V261">
        <v>0</v>
      </c>
      <c r="W261">
        <v>0</v>
      </c>
      <c r="X261" t="s">
        <v>34</v>
      </c>
      <c r="Y261">
        <v>2</v>
      </c>
      <c r="Z261" t="s">
        <v>33</v>
      </c>
      <c r="AA261">
        <v>17.01</v>
      </c>
      <c r="AB261">
        <v>6.47</v>
      </c>
      <c r="AC261">
        <v>104.96</v>
      </c>
    </row>
    <row r="262" spans="1:30">
      <c r="A262" s="11" t="s">
        <v>616</v>
      </c>
      <c r="B262" s="5" t="s">
        <v>617</v>
      </c>
      <c r="C262" s="6">
        <v>52</v>
      </c>
      <c r="D262" s="5">
        <v>0</v>
      </c>
      <c r="E262" s="5">
        <v>11.53</v>
      </c>
      <c r="F262" s="5">
        <v>0</v>
      </c>
      <c r="G262" s="5">
        <v>179</v>
      </c>
      <c r="H262" s="6">
        <v>72</v>
      </c>
      <c r="I262" s="3">
        <f t="shared" si="4"/>
        <v>22.4712087637714</v>
      </c>
      <c r="J262" s="5">
        <v>1</v>
      </c>
      <c r="K262" s="5">
        <v>0</v>
      </c>
      <c r="L262" s="5">
        <v>0</v>
      </c>
      <c r="M262" s="5">
        <v>0</v>
      </c>
      <c r="N262">
        <v>1</v>
      </c>
      <c r="O262" s="5">
        <v>5</v>
      </c>
      <c r="P262" s="5">
        <v>5</v>
      </c>
      <c r="Q262" s="5">
        <v>1</v>
      </c>
      <c r="R262" s="5">
        <v>1</v>
      </c>
      <c r="S262" s="5">
        <v>13</v>
      </c>
      <c r="T262" s="5">
        <v>7</v>
      </c>
      <c r="U262" s="5">
        <v>5</v>
      </c>
      <c r="V262" s="5">
        <v>0</v>
      </c>
      <c r="W262" s="5">
        <v>0</v>
      </c>
      <c r="X262" s="5" t="s">
        <v>34</v>
      </c>
      <c r="Y262" s="5">
        <v>2</v>
      </c>
      <c r="Z262" s="5" t="s">
        <v>33</v>
      </c>
      <c r="AA262" s="5">
        <v>18.02</v>
      </c>
      <c r="AB262" s="5">
        <v>4.91</v>
      </c>
      <c r="AC262" s="5">
        <v>81.29</v>
      </c>
    </row>
    <row r="263" spans="1:30">
      <c r="A263" s="11" t="s">
        <v>618</v>
      </c>
      <c r="B263" s="5" t="s">
        <v>619</v>
      </c>
      <c r="C263" s="6">
        <v>61</v>
      </c>
      <c r="D263" s="5">
        <v>1</v>
      </c>
      <c r="E263" s="5">
        <v>6.28</v>
      </c>
      <c r="F263" s="5">
        <v>0</v>
      </c>
      <c r="G263" s="5">
        <v>166</v>
      </c>
      <c r="H263" s="6">
        <v>56.8</v>
      </c>
      <c r="I263" s="3">
        <f t="shared" si="4"/>
        <v>20.6125707649877</v>
      </c>
      <c r="J263" s="5">
        <v>0</v>
      </c>
      <c r="K263" s="5">
        <v>0</v>
      </c>
      <c r="L263" s="5">
        <v>1</v>
      </c>
      <c r="M263" s="5">
        <v>0</v>
      </c>
      <c r="N263">
        <v>1</v>
      </c>
      <c r="O263" s="5">
        <v>5</v>
      </c>
      <c r="P263" s="5">
        <v>5</v>
      </c>
      <c r="Q263" s="5">
        <v>1</v>
      </c>
      <c r="R263" s="5">
        <v>1</v>
      </c>
      <c r="S263" s="5">
        <v>18</v>
      </c>
      <c r="T263" s="5">
        <v>5</v>
      </c>
      <c r="U263" s="5">
        <v>4</v>
      </c>
      <c r="V263" s="5">
        <v>1</v>
      </c>
      <c r="W263" s="5">
        <v>1</v>
      </c>
      <c r="X263" s="5" t="s">
        <v>48</v>
      </c>
      <c r="Y263" s="5">
        <v>2</v>
      </c>
      <c r="Z263" s="5" t="s">
        <v>37</v>
      </c>
      <c r="AA263" s="5">
        <v>20.04</v>
      </c>
      <c r="AB263" s="5">
        <v>6.43</v>
      </c>
      <c r="AC263" s="5">
        <v>128.24</v>
      </c>
    </row>
    <row r="264" spans="1:30">
      <c r="A264" s="11" t="s">
        <v>620</v>
      </c>
      <c r="B264" s="5" t="s">
        <v>621</v>
      </c>
      <c r="C264" s="6">
        <v>79</v>
      </c>
      <c r="D264" s="5">
        <v>1</v>
      </c>
      <c r="E264" s="5">
        <v>10.21</v>
      </c>
      <c r="F264" s="5">
        <v>0</v>
      </c>
      <c r="G264" s="5">
        <v>156</v>
      </c>
      <c r="H264" s="6">
        <v>48</v>
      </c>
      <c r="I264" s="3">
        <f t="shared" si="4"/>
        <v>19.723865877712</v>
      </c>
      <c r="J264" s="5">
        <v>1</v>
      </c>
      <c r="K264" s="5">
        <v>0</v>
      </c>
      <c r="L264" s="5">
        <v>0</v>
      </c>
      <c r="M264" s="5">
        <v>0</v>
      </c>
      <c r="N264">
        <v>0</v>
      </c>
      <c r="O264" s="5">
        <v>5</v>
      </c>
      <c r="P264" s="5">
        <v>5</v>
      </c>
      <c r="Q264" s="5">
        <v>1</v>
      </c>
      <c r="R264" s="5">
        <v>1</v>
      </c>
      <c r="S264" s="5">
        <v>18</v>
      </c>
      <c r="T264" s="5">
        <v>8</v>
      </c>
      <c r="U264" s="5">
        <v>4</v>
      </c>
      <c r="V264" s="5">
        <v>0</v>
      </c>
      <c r="W264" s="5">
        <v>0</v>
      </c>
      <c r="X264" s="5" t="s">
        <v>34</v>
      </c>
      <c r="Y264" s="5">
        <v>2</v>
      </c>
      <c r="Z264" s="5" t="s">
        <v>37</v>
      </c>
      <c r="AA264" s="5">
        <v>16.5</v>
      </c>
      <c r="AB264" s="5">
        <v>5.25</v>
      </c>
      <c r="AC264" s="5">
        <v>147.64</v>
      </c>
    </row>
    <row r="265" spans="1:30">
      <c r="A265" s="11" t="s">
        <v>622</v>
      </c>
      <c r="B265" s="5" t="s">
        <v>623</v>
      </c>
      <c r="C265" s="6">
        <v>58</v>
      </c>
      <c r="D265" s="5">
        <v>0</v>
      </c>
      <c r="E265" s="5">
        <v>4.39</v>
      </c>
      <c r="F265" s="5">
        <v>0</v>
      </c>
      <c r="G265" s="5">
        <v>167</v>
      </c>
      <c r="H265" s="6">
        <v>65.4</v>
      </c>
      <c r="I265" s="3">
        <f t="shared" si="4"/>
        <v>23.450105776471</v>
      </c>
      <c r="J265" s="5">
        <v>0</v>
      </c>
      <c r="K265" s="5">
        <v>1</v>
      </c>
      <c r="L265" s="5">
        <v>1</v>
      </c>
      <c r="M265" s="5">
        <v>0</v>
      </c>
      <c r="N265">
        <v>0</v>
      </c>
      <c r="O265" s="5">
        <v>5</v>
      </c>
      <c r="P265" s="5">
        <v>5</v>
      </c>
      <c r="Q265" s="5">
        <v>1</v>
      </c>
      <c r="R265" s="5">
        <v>1</v>
      </c>
      <c r="S265" s="5">
        <v>18</v>
      </c>
      <c r="T265" s="5">
        <v>6</v>
      </c>
      <c r="U265" s="5">
        <v>4</v>
      </c>
      <c r="V265" s="5">
        <v>1</v>
      </c>
      <c r="W265" s="5">
        <v>1</v>
      </c>
      <c r="X265" s="5" t="s">
        <v>34</v>
      </c>
      <c r="Y265" s="5">
        <v>2</v>
      </c>
      <c r="Z265" s="5" t="s">
        <v>37</v>
      </c>
      <c r="AA265" s="5">
        <v>17.74</v>
      </c>
      <c r="AB265" s="5">
        <v>11.96</v>
      </c>
      <c r="AC265" s="5">
        <v>75.87</v>
      </c>
    </row>
    <row r="266" spans="1:30">
      <c r="A266" s="11" t="s">
        <v>624</v>
      </c>
      <c r="B266" s="5" t="s">
        <v>625</v>
      </c>
      <c r="C266" s="6">
        <v>52</v>
      </c>
      <c r="D266" s="5">
        <v>0</v>
      </c>
      <c r="E266" s="5">
        <v>5.9</v>
      </c>
      <c r="F266" s="5">
        <v>0</v>
      </c>
      <c r="G266" s="5">
        <v>168</v>
      </c>
      <c r="H266" s="6">
        <v>80.2</v>
      </c>
      <c r="I266" s="3">
        <f t="shared" ref="I266:I311" si="5">H266/((G266/100)^2)</f>
        <v>28.4155328798186</v>
      </c>
      <c r="J266" s="5">
        <v>0</v>
      </c>
      <c r="K266" s="5">
        <v>0</v>
      </c>
      <c r="L266" s="5">
        <v>1</v>
      </c>
      <c r="M266" s="5">
        <v>0</v>
      </c>
      <c r="N266">
        <v>0</v>
      </c>
      <c r="O266" s="5">
        <v>4</v>
      </c>
      <c r="P266" s="5">
        <v>5</v>
      </c>
      <c r="Q266" s="5">
        <v>1</v>
      </c>
      <c r="R266" s="5">
        <v>1</v>
      </c>
      <c r="S266" s="5">
        <v>16</v>
      </c>
      <c r="T266" s="5">
        <v>5</v>
      </c>
      <c r="U266" s="5">
        <v>4</v>
      </c>
      <c r="V266" s="5">
        <v>0</v>
      </c>
      <c r="W266" s="5">
        <v>0</v>
      </c>
      <c r="X266" s="5" t="s">
        <v>33</v>
      </c>
      <c r="Y266" s="5">
        <v>2</v>
      </c>
      <c r="Z266" s="5" t="s">
        <v>37</v>
      </c>
      <c r="AA266" s="5">
        <v>14.91</v>
      </c>
      <c r="AB266" s="5">
        <v>12.42</v>
      </c>
      <c r="AC266" s="5">
        <v>68.71</v>
      </c>
    </row>
    <row r="267" spans="1:30">
      <c r="A267" s="11" t="s">
        <v>626</v>
      </c>
      <c r="B267" s="5" t="s">
        <v>627</v>
      </c>
      <c r="C267" s="6">
        <v>67</v>
      </c>
      <c r="D267" s="5">
        <v>1</v>
      </c>
      <c r="E267" s="5">
        <v>4.03</v>
      </c>
      <c r="F267" s="5">
        <v>0</v>
      </c>
      <c r="G267" s="5">
        <v>152</v>
      </c>
      <c r="H267" s="6">
        <v>43.3</v>
      </c>
      <c r="I267" s="3">
        <f t="shared" si="5"/>
        <v>18.7413434903047</v>
      </c>
      <c r="J267" s="5">
        <v>0</v>
      </c>
      <c r="K267" s="5">
        <v>1</v>
      </c>
      <c r="L267" s="5">
        <v>0</v>
      </c>
      <c r="M267" s="5">
        <v>0</v>
      </c>
      <c r="N267">
        <v>0</v>
      </c>
      <c r="O267" s="5">
        <v>5</v>
      </c>
      <c r="P267" s="5">
        <v>5</v>
      </c>
      <c r="Q267" s="5">
        <v>1</v>
      </c>
      <c r="R267" s="5">
        <v>1</v>
      </c>
      <c r="S267" s="5">
        <v>22</v>
      </c>
      <c r="T267" s="5">
        <v>7</v>
      </c>
      <c r="U267" s="5">
        <v>3</v>
      </c>
      <c r="V267" s="5">
        <v>1</v>
      </c>
      <c r="W267" s="5">
        <v>1</v>
      </c>
      <c r="X267" s="5" t="s">
        <v>48</v>
      </c>
      <c r="Y267" s="5">
        <v>2</v>
      </c>
      <c r="Z267" s="5" t="s">
        <v>34</v>
      </c>
      <c r="AA267" s="5">
        <v>19.03</v>
      </c>
      <c r="AB267" s="5">
        <v>13.09</v>
      </c>
      <c r="AC267" s="5">
        <v>98.66</v>
      </c>
    </row>
    <row r="268" spans="1:30">
      <c r="A268" s="11" t="s">
        <v>628</v>
      </c>
      <c r="B268" s="5" t="s">
        <v>629</v>
      </c>
      <c r="C268" s="6">
        <v>65</v>
      </c>
      <c r="D268" s="5">
        <v>0</v>
      </c>
      <c r="E268" s="5">
        <v>3.79</v>
      </c>
      <c r="F268" s="5">
        <v>0</v>
      </c>
      <c r="G268" s="5">
        <v>166</v>
      </c>
      <c r="H268" s="6">
        <v>74</v>
      </c>
      <c r="I268" s="3">
        <f t="shared" si="5"/>
        <v>26.8544055741036</v>
      </c>
      <c r="J268" s="5">
        <v>1</v>
      </c>
      <c r="K268" s="5">
        <v>0</v>
      </c>
      <c r="L268" s="5">
        <v>1</v>
      </c>
      <c r="M268" s="5">
        <v>0</v>
      </c>
      <c r="N268">
        <v>1</v>
      </c>
      <c r="O268" s="5">
        <v>5</v>
      </c>
      <c r="P268" s="5">
        <v>5</v>
      </c>
      <c r="Q268" s="5">
        <v>1</v>
      </c>
      <c r="R268" s="5">
        <v>1</v>
      </c>
      <c r="S268" s="5">
        <v>13</v>
      </c>
      <c r="T268" s="5">
        <v>6</v>
      </c>
      <c r="U268" s="5">
        <v>4</v>
      </c>
      <c r="V268" s="5">
        <v>0</v>
      </c>
      <c r="W268" s="5">
        <v>0</v>
      </c>
      <c r="X268" s="5" t="s">
        <v>34</v>
      </c>
      <c r="Y268" s="5">
        <v>2</v>
      </c>
      <c r="Z268" s="5" t="s">
        <v>37</v>
      </c>
      <c r="AA268" s="5">
        <v>18.06</v>
      </c>
      <c r="AB268" s="5">
        <v>3.43</v>
      </c>
      <c r="AC268" s="5">
        <v>84.8</v>
      </c>
    </row>
    <row r="269" spans="1:30">
      <c r="A269" s="11" t="s">
        <v>630</v>
      </c>
      <c r="B269" s="5" t="s">
        <v>631</v>
      </c>
      <c r="C269" s="6">
        <v>46</v>
      </c>
      <c r="D269" s="5">
        <v>0</v>
      </c>
      <c r="E269" s="5">
        <v>4.94</v>
      </c>
      <c r="F269" s="5">
        <v>0</v>
      </c>
      <c r="G269" s="5">
        <v>172</v>
      </c>
      <c r="H269" s="6">
        <v>78.8</v>
      </c>
      <c r="I269" s="3">
        <f t="shared" si="5"/>
        <v>26.6360194699838</v>
      </c>
      <c r="J269" s="5">
        <v>0</v>
      </c>
      <c r="K269" s="5">
        <v>0</v>
      </c>
      <c r="L269" s="5">
        <v>0</v>
      </c>
      <c r="M269" s="5">
        <v>0</v>
      </c>
      <c r="N269">
        <v>0</v>
      </c>
      <c r="O269" s="5">
        <v>5</v>
      </c>
      <c r="P269" s="5">
        <v>5</v>
      </c>
      <c r="Q269" s="5">
        <v>1</v>
      </c>
      <c r="R269" s="5">
        <v>1</v>
      </c>
      <c r="S269" s="5">
        <v>13</v>
      </c>
      <c r="T269" s="5">
        <v>5</v>
      </c>
      <c r="U269" s="5">
        <v>4</v>
      </c>
      <c r="V269" s="5">
        <v>0</v>
      </c>
      <c r="W269" s="5">
        <v>1</v>
      </c>
      <c r="X269" t="s">
        <v>33</v>
      </c>
      <c r="Y269" s="5">
        <v>1</v>
      </c>
      <c r="Z269" s="5" t="s">
        <v>34</v>
      </c>
      <c r="AA269" s="5">
        <v>15.67</v>
      </c>
      <c r="AB269" s="5">
        <v>11.71</v>
      </c>
      <c r="AC269" s="5">
        <v>156.7</v>
      </c>
    </row>
    <row r="270" spans="1:30">
      <c r="A270" s="11" t="s">
        <v>632</v>
      </c>
      <c r="B270" s="5" t="s">
        <v>633</v>
      </c>
      <c r="C270" s="6">
        <v>51</v>
      </c>
      <c r="D270" s="5">
        <v>0</v>
      </c>
      <c r="E270" s="5">
        <v>4.89</v>
      </c>
      <c r="F270" s="5">
        <v>0</v>
      </c>
      <c r="G270" s="5">
        <v>170</v>
      </c>
      <c r="H270" s="6">
        <v>75.3</v>
      </c>
      <c r="I270" s="3">
        <f t="shared" si="5"/>
        <v>26.0553633217993</v>
      </c>
      <c r="J270" s="5">
        <v>0</v>
      </c>
      <c r="K270" s="5">
        <v>0</v>
      </c>
      <c r="L270" s="5">
        <v>1</v>
      </c>
      <c r="M270" s="5">
        <v>0</v>
      </c>
      <c r="N270">
        <v>1</v>
      </c>
      <c r="O270" s="5">
        <v>5</v>
      </c>
      <c r="P270" s="5">
        <v>5</v>
      </c>
      <c r="Q270" s="5">
        <v>1</v>
      </c>
      <c r="R270" s="5">
        <v>0</v>
      </c>
      <c r="S270" s="5">
        <v>22</v>
      </c>
      <c r="T270" s="5">
        <v>3</v>
      </c>
      <c r="U270" s="5">
        <v>4</v>
      </c>
      <c r="V270" s="5">
        <v>1</v>
      </c>
      <c r="W270" s="5">
        <v>1</v>
      </c>
      <c r="X270" s="5" t="s">
        <v>34</v>
      </c>
      <c r="Y270" s="5">
        <v>2</v>
      </c>
      <c r="Z270" s="5" t="s">
        <v>37</v>
      </c>
      <c r="AA270" s="5">
        <v>15.7</v>
      </c>
      <c r="AB270" s="5">
        <v>14.77</v>
      </c>
      <c r="AC270" s="5">
        <v>60.73</v>
      </c>
    </row>
    <row r="271" spans="1:30">
      <c r="A271" s="11" t="s">
        <v>634</v>
      </c>
      <c r="B271" s="5" t="s">
        <v>629</v>
      </c>
      <c r="C271" s="6">
        <v>70</v>
      </c>
      <c r="D271" s="5">
        <v>0</v>
      </c>
      <c r="E271" s="5">
        <v>4</v>
      </c>
      <c r="F271" s="5">
        <v>0</v>
      </c>
      <c r="G271" s="5">
        <v>156</v>
      </c>
      <c r="H271" s="6">
        <v>64.6</v>
      </c>
      <c r="I271" s="3">
        <f t="shared" si="5"/>
        <v>26.5450361604208</v>
      </c>
      <c r="J271" s="5">
        <v>0</v>
      </c>
      <c r="K271" s="5">
        <v>0</v>
      </c>
      <c r="L271" s="5">
        <v>0</v>
      </c>
      <c r="M271" s="5">
        <v>1</v>
      </c>
      <c r="N271">
        <v>1</v>
      </c>
      <c r="O271" s="5">
        <v>5</v>
      </c>
      <c r="P271" s="5">
        <v>5</v>
      </c>
      <c r="Q271" s="5">
        <v>1</v>
      </c>
      <c r="R271" s="5">
        <v>1</v>
      </c>
      <c r="S271" s="5">
        <v>15</v>
      </c>
      <c r="T271" s="5">
        <v>2</v>
      </c>
      <c r="U271" s="5">
        <v>4</v>
      </c>
      <c r="V271" s="5">
        <v>0</v>
      </c>
      <c r="W271" s="5">
        <v>0</v>
      </c>
      <c r="X271" t="s">
        <v>33</v>
      </c>
      <c r="Y271" s="5">
        <v>2</v>
      </c>
      <c r="Z271" s="5" t="s">
        <v>37</v>
      </c>
      <c r="AA271" s="5">
        <v>21.2</v>
      </c>
      <c r="AB271" s="5">
        <v>11.82</v>
      </c>
      <c r="AC271" s="5">
        <v>108.41</v>
      </c>
    </row>
    <row r="272" spans="1:30">
      <c r="A272" s="11" t="s">
        <v>635</v>
      </c>
      <c r="B272" s="5" t="s">
        <v>636</v>
      </c>
      <c r="C272" s="6">
        <v>62</v>
      </c>
      <c r="D272" s="5">
        <v>0</v>
      </c>
      <c r="E272" s="5">
        <v>4.15</v>
      </c>
      <c r="F272" s="5">
        <v>0</v>
      </c>
      <c r="G272" s="5">
        <v>158</v>
      </c>
      <c r="H272" s="6">
        <v>54</v>
      </c>
      <c r="I272" s="3">
        <f t="shared" si="5"/>
        <v>21.6311488543503</v>
      </c>
      <c r="J272" s="5">
        <v>0</v>
      </c>
      <c r="K272" s="5">
        <v>0</v>
      </c>
      <c r="L272" s="5">
        <v>1</v>
      </c>
      <c r="M272" s="5">
        <v>1</v>
      </c>
      <c r="N272">
        <v>0</v>
      </c>
      <c r="O272" s="5">
        <v>5</v>
      </c>
      <c r="P272" s="5">
        <v>5</v>
      </c>
      <c r="Q272" s="5">
        <v>1</v>
      </c>
      <c r="R272" s="5">
        <v>1</v>
      </c>
      <c r="S272" s="5">
        <v>14</v>
      </c>
      <c r="T272" s="5">
        <v>4</v>
      </c>
      <c r="U272" s="5">
        <v>3</v>
      </c>
      <c r="V272" s="5">
        <v>0</v>
      </c>
      <c r="W272" s="5">
        <v>0</v>
      </c>
      <c r="X272" t="s">
        <v>33</v>
      </c>
      <c r="Y272" s="5">
        <v>2</v>
      </c>
      <c r="Z272" s="5" t="s">
        <v>37</v>
      </c>
      <c r="AA272" s="5">
        <v>21.98</v>
      </c>
      <c r="AB272" s="5">
        <v>3.08</v>
      </c>
      <c r="AC272" s="5">
        <v>218.79</v>
      </c>
    </row>
    <row r="273" spans="1:29">
      <c r="A273" s="11" t="s">
        <v>637</v>
      </c>
      <c r="B273" s="5" t="s">
        <v>638</v>
      </c>
      <c r="C273" s="6">
        <v>30</v>
      </c>
      <c r="D273" s="5">
        <v>1</v>
      </c>
      <c r="E273" s="5">
        <v>8.68</v>
      </c>
      <c r="F273" s="5">
        <v>0</v>
      </c>
      <c r="G273" s="5">
        <v>162</v>
      </c>
      <c r="H273" s="6">
        <v>67.1</v>
      </c>
      <c r="I273" s="3">
        <f t="shared" si="5"/>
        <v>25.5677488187776</v>
      </c>
      <c r="J273" s="5">
        <v>0</v>
      </c>
      <c r="K273" s="5">
        <v>1</v>
      </c>
      <c r="L273" s="5">
        <v>0</v>
      </c>
      <c r="M273" s="5">
        <v>0</v>
      </c>
      <c r="N273">
        <v>0</v>
      </c>
      <c r="O273" s="5">
        <v>5</v>
      </c>
      <c r="P273" s="5">
        <v>5</v>
      </c>
      <c r="Q273" s="5">
        <v>1</v>
      </c>
      <c r="R273" s="5">
        <v>1</v>
      </c>
      <c r="S273" s="5">
        <v>22</v>
      </c>
      <c r="T273" s="5">
        <v>3</v>
      </c>
      <c r="U273" s="5">
        <v>4</v>
      </c>
      <c r="V273" s="5">
        <v>0</v>
      </c>
      <c r="W273" s="5">
        <v>1</v>
      </c>
      <c r="X273" s="5" t="s">
        <v>34</v>
      </c>
      <c r="Y273" s="5">
        <v>2</v>
      </c>
      <c r="Z273" s="5" t="s">
        <v>37</v>
      </c>
      <c r="AA273" s="5">
        <v>17.17</v>
      </c>
      <c r="AB273" s="5">
        <v>13.58</v>
      </c>
      <c r="AC273" s="5">
        <v>123.76</v>
      </c>
    </row>
    <row r="274" spans="1:29">
      <c r="A274" s="11" t="s">
        <v>639</v>
      </c>
      <c r="B274" s="5" t="s">
        <v>640</v>
      </c>
      <c r="C274" s="6">
        <v>62</v>
      </c>
      <c r="D274" s="5">
        <v>1</v>
      </c>
      <c r="E274" s="5">
        <v>11.47</v>
      </c>
      <c r="F274" s="5">
        <v>0</v>
      </c>
      <c r="G274" s="5">
        <v>161</v>
      </c>
      <c r="H274" s="6">
        <v>57.6</v>
      </c>
      <c r="I274" s="3">
        <f t="shared" si="5"/>
        <v>22.221364916477</v>
      </c>
      <c r="J274" s="5">
        <v>0</v>
      </c>
      <c r="K274" s="5">
        <v>0</v>
      </c>
      <c r="L274" s="5">
        <v>0</v>
      </c>
      <c r="M274" s="5">
        <v>1</v>
      </c>
      <c r="N274">
        <v>1</v>
      </c>
      <c r="O274" s="5">
        <v>5</v>
      </c>
      <c r="P274" s="5">
        <v>5</v>
      </c>
      <c r="Q274" s="5">
        <v>1</v>
      </c>
      <c r="R274" s="5">
        <v>1</v>
      </c>
      <c r="S274" s="5">
        <v>21</v>
      </c>
      <c r="T274" s="5">
        <v>8</v>
      </c>
      <c r="U274" s="5">
        <v>3</v>
      </c>
      <c r="V274" s="5">
        <v>0</v>
      </c>
      <c r="W274" s="5">
        <v>1</v>
      </c>
      <c r="X274" t="s">
        <v>33</v>
      </c>
      <c r="Y274" s="5">
        <v>2</v>
      </c>
      <c r="Z274" s="5" t="s">
        <v>37</v>
      </c>
      <c r="AA274" s="5">
        <v>17.79</v>
      </c>
      <c r="AB274" s="5">
        <v>8.95</v>
      </c>
      <c r="AC274" s="5">
        <v>131.17</v>
      </c>
    </row>
    <row r="275" spans="1:29">
      <c r="A275" s="11" t="s">
        <v>641</v>
      </c>
      <c r="B275" s="5" t="s">
        <v>642</v>
      </c>
      <c r="C275" s="6">
        <v>68</v>
      </c>
      <c r="D275" s="5">
        <v>1</v>
      </c>
      <c r="E275" s="5">
        <v>4.29</v>
      </c>
      <c r="F275" s="5">
        <v>0</v>
      </c>
      <c r="G275" s="5">
        <v>152</v>
      </c>
      <c r="H275" s="6">
        <v>53</v>
      </c>
      <c r="I275" s="3">
        <f t="shared" si="5"/>
        <v>22.9397506925208</v>
      </c>
      <c r="J275" s="5">
        <v>0</v>
      </c>
      <c r="K275" s="5">
        <v>0</v>
      </c>
      <c r="L275" s="5">
        <v>0</v>
      </c>
      <c r="M275" s="5">
        <v>0</v>
      </c>
      <c r="N275">
        <v>0</v>
      </c>
      <c r="O275" s="5">
        <v>5</v>
      </c>
      <c r="P275" s="5">
        <v>5</v>
      </c>
      <c r="Q275" s="5">
        <v>1</v>
      </c>
      <c r="R275" s="5">
        <v>1</v>
      </c>
      <c r="S275" s="5">
        <v>15</v>
      </c>
      <c r="T275" s="5">
        <v>4</v>
      </c>
      <c r="U275" s="5">
        <v>4</v>
      </c>
      <c r="V275" s="5">
        <v>0</v>
      </c>
      <c r="W275" s="5">
        <v>0</v>
      </c>
      <c r="X275" t="s">
        <v>33</v>
      </c>
      <c r="Y275" s="5">
        <v>2</v>
      </c>
      <c r="Z275" s="5" t="s">
        <v>37</v>
      </c>
      <c r="AA275" s="5">
        <v>18.52</v>
      </c>
      <c r="AB275" s="5">
        <v>8.22</v>
      </c>
      <c r="AC275" s="5">
        <v>157.07</v>
      </c>
    </row>
    <row r="276" spans="1:29">
      <c r="A276" s="11" t="s">
        <v>643</v>
      </c>
      <c r="B276" s="5" t="s">
        <v>644</v>
      </c>
      <c r="C276" s="6">
        <v>47</v>
      </c>
      <c r="D276" s="5">
        <v>0</v>
      </c>
      <c r="E276" s="5">
        <v>4.77</v>
      </c>
      <c r="F276" s="5">
        <v>0</v>
      </c>
      <c r="G276" s="5">
        <v>155</v>
      </c>
      <c r="H276" s="6">
        <v>52</v>
      </c>
      <c r="I276" s="3">
        <f t="shared" si="5"/>
        <v>21.6441207075963</v>
      </c>
      <c r="J276" s="5">
        <v>0</v>
      </c>
      <c r="K276" s="5">
        <v>0</v>
      </c>
      <c r="L276" s="5">
        <v>1</v>
      </c>
      <c r="M276" s="5">
        <v>1</v>
      </c>
      <c r="N276">
        <v>0</v>
      </c>
      <c r="O276" s="5">
        <v>5</v>
      </c>
      <c r="P276" s="5">
        <v>5</v>
      </c>
      <c r="Q276" s="5">
        <v>1</v>
      </c>
      <c r="R276" s="5">
        <v>1</v>
      </c>
      <c r="S276" s="5">
        <v>18</v>
      </c>
      <c r="T276" s="5">
        <v>4</v>
      </c>
      <c r="U276" s="5">
        <v>3</v>
      </c>
      <c r="V276" s="5">
        <v>0</v>
      </c>
      <c r="W276" s="5">
        <v>1</v>
      </c>
      <c r="X276" t="s">
        <v>33</v>
      </c>
      <c r="Y276" s="5">
        <v>2</v>
      </c>
      <c r="Z276" s="5" t="s">
        <v>37</v>
      </c>
      <c r="AA276" s="5">
        <v>17.97</v>
      </c>
      <c r="AB276" s="5">
        <v>10.05</v>
      </c>
      <c r="AC276" s="5">
        <v>84.74</v>
      </c>
    </row>
    <row r="277" spans="1:29">
      <c r="A277" s="11" t="s">
        <v>645</v>
      </c>
      <c r="B277" s="5" t="s">
        <v>646</v>
      </c>
      <c r="C277" s="6">
        <v>65</v>
      </c>
      <c r="D277" s="5">
        <v>0</v>
      </c>
      <c r="E277" s="5">
        <v>7.1</v>
      </c>
      <c r="F277" s="5">
        <v>0</v>
      </c>
      <c r="G277" s="5">
        <v>164</v>
      </c>
      <c r="H277" s="6">
        <v>60.1</v>
      </c>
      <c r="I277" s="3">
        <f t="shared" si="5"/>
        <v>22.3453301606187</v>
      </c>
      <c r="J277" s="5">
        <v>0</v>
      </c>
      <c r="K277" s="5">
        <v>0</v>
      </c>
      <c r="L277" s="5">
        <v>1</v>
      </c>
      <c r="M277" s="5">
        <v>0</v>
      </c>
      <c r="N277">
        <v>0</v>
      </c>
      <c r="O277" s="5">
        <v>5</v>
      </c>
      <c r="P277" s="5">
        <v>5</v>
      </c>
      <c r="Q277" s="5">
        <v>1</v>
      </c>
      <c r="R277" s="5">
        <v>1</v>
      </c>
      <c r="S277" s="5">
        <v>22</v>
      </c>
      <c r="T277" s="5">
        <v>3</v>
      </c>
      <c r="U277" s="5">
        <v>3</v>
      </c>
      <c r="V277" s="5">
        <v>0</v>
      </c>
      <c r="W277" s="5">
        <v>1</v>
      </c>
      <c r="X277" t="s">
        <v>33</v>
      </c>
      <c r="Y277" s="5">
        <v>2</v>
      </c>
      <c r="Z277" s="5" t="s">
        <v>37</v>
      </c>
      <c r="AA277" s="5">
        <v>13.95</v>
      </c>
      <c r="AB277" s="5">
        <v>6.03</v>
      </c>
      <c r="AC277" s="5">
        <v>57.19</v>
      </c>
    </row>
    <row r="278" spans="1:29">
      <c r="A278" s="11" t="s">
        <v>647</v>
      </c>
      <c r="B278" s="5" t="s">
        <v>648</v>
      </c>
      <c r="C278" s="6">
        <v>79</v>
      </c>
      <c r="D278" s="5">
        <v>0</v>
      </c>
      <c r="E278" s="5">
        <v>14.43</v>
      </c>
      <c r="F278" s="5">
        <v>0</v>
      </c>
      <c r="G278" s="5">
        <v>160</v>
      </c>
      <c r="H278" s="6">
        <v>72.2</v>
      </c>
      <c r="I278" s="3">
        <f t="shared" si="5"/>
        <v>28.203125</v>
      </c>
      <c r="J278" s="5">
        <v>1</v>
      </c>
      <c r="K278" s="5">
        <v>0</v>
      </c>
      <c r="L278" s="5">
        <v>1</v>
      </c>
      <c r="M278" s="5">
        <v>0</v>
      </c>
      <c r="N278">
        <v>0</v>
      </c>
      <c r="O278" s="5">
        <v>5</v>
      </c>
      <c r="P278" s="5">
        <v>5</v>
      </c>
      <c r="Q278" s="5">
        <v>1</v>
      </c>
      <c r="R278" s="5">
        <v>0</v>
      </c>
      <c r="S278" s="5">
        <v>20</v>
      </c>
      <c r="T278" s="5">
        <v>4</v>
      </c>
      <c r="U278" s="5">
        <v>5</v>
      </c>
      <c r="V278" s="5">
        <v>0</v>
      </c>
      <c r="W278" s="5">
        <v>1</v>
      </c>
      <c r="X278" t="s">
        <v>33</v>
      </c>
      <c r="Y278" s="5">
        <v>2</v>
      </c>
      <c r="Z278" s="5" t="s">
        <v>37</v>
      </c>
      <c r="AA278" s="5">
        <v>18.58</v>
      </c>
      <c r="AB278" s="5">
        <v>8.85</v>
      </c>
      <c r="AC278" s="5">
        <v>113.23</v>
      </c>
    </row>
    <row r="279" spans="1:29">
      <c r="A279" s="11" t="s">
        <v>649</v>
      </c>
      <c r="B279" s="5" t="s">
        <v>650</v>
      </c>
      <c r="C279" s="6">
        <v>61</v>
      </c>
      <c r="D279" s="5">
        <v>1</v>
      </c>
      <c r="E279" s="5">
        <v>5.89</v>
      </c>
      <c r="F279" s="5">
        <v>0</v>
      </c>
      <c r="G279" s="5">
        <v>157</v>
      </c>
      <c r="H279" s="6">
        <v>56.4</v>
      </c>
      <c r="I279" s="3">
        <f t="shared" si="5"/>
        <v>22.8812527891598</v>
      </c>
      <c r="J279" s="5">
        <v>0</v>
      </c>
      <c r="K279" s="5">
        <v>0</v>
      </c>
      <c r="L279" s="5">
        <v>0</v>
      </c>
      <c r="M279" s="5">
        <v>0</v>
      </c>
      <c r="N279">
        <v>0</v>
      </c>
      <c r="O279" s="5">
        <v>5</v>
      </c>
      <c r="P279" s="5">
        <v>5</v>
      </c>
      <c r="Q279" s="5">
        <v>1</v>
      </c>
      <c r="R279" s="5">
        <v>1</v>
      </c>
      <c r="S279" s="5">
        <v>22</v>
      </c>
      <c r="T279" s="5">
        <v>4</v>
      </c>
      <c r="U279" s="5">
        <v>4</v>
      </c>
      <c r="V279" s="5">
        <v>1</v>
      </c>
      <c r="W279" s="5">
        <v>1</v>
      </c>
      <c r="X279" s="5" t="s">
        <v>48</v>
      </c>
      <c r="Y279" s="5">
        <v>2</v>
      </c>
      <c r="Z279" s="5" t="s">
        <v>37</v>
      </c>
      <c r="AA279" s="5">
        <v>13.04</v>
      </c>
      <c r="AB279" s="5">
        <v>13.18</v>
      </c>
      <c r="AC279" s="5">
        <v>117.19</v>
      </c>
    </row>
    <row r="280" spans="1:29">
      <c r="A280" s="11" t="s">
        <v>651</v>
      </c>
      <c r="B280" s="5" t="s">
        <v>652</v>
      </c>
      <c r="C280" s="6">
        <v>50</v>
      </c>
      <c r="D280" s="5">
        <v>0</v>
      </c>
      <c r="E280" s="5">
        <v>8.34</v>
      </c>
      <c r="F280" s="5">
        <v>0</v>
      </c>
      <c r="G280" s="5">
        <v>161</v>
      </c>
      <c r="H280" s="6">
        <v>64</v>
      </c>
      <c r="I280" s="3">
        <f t="shared" si="5"/>
        <v>24.6904054627522</v>
      </c>
      <c r="J280" s="5">
        <v>0</v>
      </c>
      <c r="K280" s="5">
        <v>0</v>
      </c>
      <c r="L280" s="5">
        <v>1</v>
      </c>
      <c r="M280" s="5">
        <v>0</v>
      </c>
      <c r="N280">
        <v>0</v>
      </c>
      <c r="O280" s="5">
        <v>5</v>
      </c>
      <c r="P280" s="5">
        <v>5</v>
      </c>
      <c r="Q280" s="5">
        <v>1</v>
      </c>
      <c r="R280" s="5">
        <v>1</v>
      </c>
      <c r="S280" s="5">
        <v>20</v>
      </c>
      <c r="T280" s="5">
        <v>8</v>
      </c>
      <c r="U280" s="5">
        <v>3</v>
      </c>
      <c r="V280" s="5">
        <v>0</v>
      </c>
      <c r="W280" s="5">
        <v>1</v>
      </c>
      <c r="X280" s="5" t="s">
        <v>48</v>
      </c>
      <c r="Y280" s="5">
        <v>3</v>
      </c>
      <c r="Z280" s="5" t="s">
        <v>37</v>
      </c>
      <c r="AA280" s="5">
        <v>16.03</v>
      </c>
      <c r="AB280" s="5">
        <v>10.51</v>
      </c>
      <c r="AC280" s="5">
        <v>33.27</v>
      </c>
    </row>
    <row r="281" spans="1:29">
      <c r="A281" s="11" t="s">
        <v>653</v>
      </c>
      <c r="B281" s="5" t="s">
        <v>654</v>
      </c>
      <c r="C281" s="6">
        <v>51</v>
      </c>
      <c r="D281" s="5">
        <v>0</v>
      </c>
      <c r="E281" s="5">
        <v>9.91</v>
      </c>
      <c r="F281" s="5">
        <v>0</v>
      </c>
      <c r="G281" s="5">
        <v>172</v>
      </c>
      <c r="H281" s="6">
        <v>75.8</v>
      </c>
      <c r="I281" s="3">
        <f t="shared" si="5"/>
        <v>25.6219578150352</v>
      </c>
      <c r="J281" s="5">
        <v>0</v>
      </c>
      <c r="K281" s="5">
        <v>0</v>
      </c>
      <c r="L281" s="5">
        <v>0</v>
      </c>
      <c r="M281" s="5">
        <v>0</v>
      </c>
      <c r="N281">
        <v>1</v>
      </c>
      <c r="O281" s="5">
        <v>5</v>
      </c>
      <c r="P281" s="5">
        <v>5</v>
      </c>
      <c r="Q281" s="5">
        <v>1</v>
      </c>
      <c r="R281" s="5">
        <v>1</v>
      </c>
      <c r="S281" s="5">
        <v>21</v>
      </c>
      <c r="T281" s="5">
        <v>5</v>
      </c>
      <c r="U281" s="5">
        <v>3</v>
      </c>
      <c r="V281" s="5">
        <v>0</v>
      </c>
      <c r="W281" s="5">
        <v>0</v>
      </c>
      <c r="X281" s="5" t="s">
        <v>34</v>
      </c>
      <c r="Y281" s="5">
        <v>2</v>
      </c>
      <c r="Z281" s="5" t="s">
        <v>37</v>
      </c>
      <c r="AA281" s="5">
        <v>18.75</v>
      </c>
      <c r="AB281" s="5">
        <v>9</v>
      </c>
      <c r="AC281" s="5">
        <v>122.07</v>
      </c>
    </row>
    <row r="282" spans="1:29">
      <c r="A282" s="11" t="s">
        <v>655</v>
      </c>
      <c r="B282" s="5" t="s">
        <v>656</v>
      </c>
      <c r="C282" s="6">
        <v>57</v>
      </c>
      <c r="D282" s="5">
        <v>0</v>
      </c>
      <c r="E282" s="5">
        <v>6.61</v>
      </c>
      <c r="F282" s="5">
        <v>0</v>
      </c>
      <c r="G282" s="5">
        <v>165</v>
      </c>
      <c r="H282" s="6">
        <v>65</v>
      </c>
      <c r="I282" s="3">
        <f t="shared" si="5"/>
        <v>23.8751147842057</v>
      </c>
      <c r="J282" s="5">
        <v>0</v>
      </c>
      <c r="K282" s="5">
        <v>0</v>
      </c>
      <c r="L282" s="5">
        <v>0</v>
      </c>
      <c r="M282" s="5">
        <v>0</v>
      </c>
      <c r="N282">
        <v>0</v>
      </c>
      <c r="O282" s="5">
        <v>5</v>
      </c>
      <c r="P282" s="5">
        <v>5</v>
      </c>
      <c r="Q282" s="5">
        <v>1</v>
      </c>
      <c r="R282" s="5">
        <v>0</v>
      </c>
      <c r="S282" s="5">
        <v>18</v>
      </c>
      <c r="T282" s="5">
        <v>5</v>
      </c>
      <c r="U282" s="5">
        <v>2</v>
      </c>
      <c r="V282" s="5">
        <v>0</v>
      </c>
      <c r="W282" s="5">
        <v>0</v>
      </c>
      <c r="X282" s="5" t="s">
        <v>48</v>
      </c>
      <c r="Y282" s="5">
        <v>1</v>
      </c>
      <c r="Z282" s="5" t="s">
        <v>37</v>
      </c>
      <c r="AA282" s="5">
        <v>18.96</v>
      </c>
      <c r="AB282" s="5">
        <v>9.08</v>
      </c>
      <c r="AC282" s="5">
        <v>153.02</v>
      </c>
    </row>
    <row r="283" spans="1:29">
      <c r="A283" s="11" t="s">
        <v>657</v>
      </c>
      <c r="B283" s="5" t="s">
        <v>658</v>
      </c>
      <c r="C283" s="6">
        <v>61</v>
      </c>
      <c r="D283" s="5">
        <v>0</v>
      </c>
      <c r="E283" s="5">
        <v>8.21</v>
      </c>
      <c r="F283" s="5">
        <v>0</v>
      </c>
      <c r="G283" s="5">
        <v>166</v>
      </c>
      <c r="H283" s="6">
        <v>67</v>
      </c>
      <c r="I283" s="3">
        <f t="shared" si="5"/>
        <v>24.3141239657425</v>
      </c>
      <c r="J283" s="5">
        <v>0</v>
      </c>
      <c r="K283" s="5">
        <v>0</v>
      </c>
      <c r="L283" s="5">
        <v>0</v>
      </c>
      <c r="M283" s="5">
        <v>0</v>
      </c>
      <c r="N283">
        <v>0</v>
      </c>
      <c r="O283" s="5">
        <v>5</v>
      </c>
      <c r="P283" s="5">
        <v>5</v>
      </c>
      <c r="Q283" s="5">
        <v>1</v>
      </c>
      <c r="R283" s="5">
        <v>0</v>
      </c>
      <c r="S283" s="5">
        <v>17</v>
      </c>
      <c r="T283" s="5">
        <v>5</v>
      </c>
      <c r="U283" s="5">
        <v>4</v>
      </c>
      <c r="V283" s="5">
        <v>0</v>
      </c>
      <c r="W283" s="5">
        <v>0</v>
      </c>
      <c r="X283" s="5" t="s">
        <v>34</v>
      </c>
      <c r="Y283" s="5">
        <v>2</v>
      </c>
      <c r="Z283" s="5" t="s">
        <v>37</v>
      </c>
      <c r="AA283" s="5">
        <v>15.86</v>
      </c>
      <c r="AB283" s="5">
        <v>5.68</v>
      </c>
      <c r="AC283" s="5">
        <v>64.69</v>
      </c>
    </row>
    <row r="284" spans="1:29">
      <c r="A284" s="11" t="s">
        <v>659</v>
      </c>
      <c r="B284" s="5" t="s">
        <v>660</v>
      </c>
      <c r="C284" s="6">
        <v>58</v>
      </c>
      <c r="D284" s="5">
        <v>1</v>
      </c>
      <c r="E284" s="5">
        <v>7.33</v>
      </c>
      <c r="F284" s="5">
        <v>0</v>
      </c>
      <c r="G284" s="5">
        <v>153</v>
      </c>
      <c r="H284" s="6">
        <v>60.3</v>
      </c>
      <c r="I284" s="3">
        <f t="shared" si="5"/>
        <v>25.759323337178</v>
      </c>
      <c r="J284" s="5">
        <v>0</v>
      </c>
      <c r="K284" s="5">
        <v>0</v>
      </c>
      <c r="L284" s="5">
        <v>1</v>
      </c>
      <c r="M284" s="5">
        <v>0</v>
      </c>
      <c r="N284">
        <v>0</v>
      </c>
      <c r="O284" s="5">
        <v>5</v>
      </c>
      <c r="P284" s="5">
        <v>5</v>
      </c>
      <c r="Q284" s="5">
        <v>1</v>
      </c>
      <c r="R284" s="5">
        <v>1</v>
      </c>
      <c r="S284" s="5">
        <v>18</v>
      </c>
      <c r="T284" s="5">
        <v>6</v>
      </c>
      <c r="U284" s="5">
        <v>3</v>
      </c>
      <c r="V284" s="5">
        <v>1</v>
      </c>
      <c r="W284" s="5">
        <v>1</v>
      </c>
      <c r="X284" s="5" t="s">
        <v>48</v>
      </c>
      <c r="Y284" s="5">
        <v>1</v>
      </c>
      <c r="Z284" s="5" t="s">
        <v>37</v>
      </c>
      <c r="AA284" s="5">
        <v>16.63</v>
      </c>
      <c r="AB284" s="5">
        <v>8.44</v>
      </c>
      <c r="AC284" s="5">
        <v>124.77</v>
      </c>
    </row>
    <row r="285" spans="1:29">
      <c r="A285" s="11" t="s">
        <v>661</v>
      </c>
      <c r="B285" s="5" t="s">
        <v>662</v>
      </c>
      <c r="C285" s="6">
        <v>63</v>
      </c>
      <c r="D285" s="5">
        <v>0</v>
      </c>
      <c r="E285" s="5">
        <v>8.5</v>
      </c>
      <c r="F285" s="5">
        <v>0</v>
      </c>
      <c r="G285" s="5">
        <v>145</v>
      </c>
      <c r="H285" s="6">
        <v>45.7</v>
      </c>
      <c r="I285" s="3">
        <f t="shared" si="5"/>
        <v>21.7360285374554</v>
      </c>
      <c r="J285" s="5">
        <v>0</v>
      </c>
      <c r="K285" s="5">
        <v>0</v>
      </c>
      <c r="L285" s="5">
        <v>0</v>
      </c>
      <c r="M285" s="5">
        <v>1</v>
      </c>
      <c r="N285">
        <v>0</v>
      </c>
      <c r="O285" s="5">
        <v>5</v>
      </c>
      <c r="P285" s="5">
        <v>5</v>
      </c>
      <c r="Q285" s="5">
        <v>1</v>
      </c>
      <c r="R285" s="5">
        <v>1</v>
      </c>
      <c r="S285" s="5">
        <v>20</v>
      </c>
      <c r="T285" s="5">
        <v>4</v>
      </c>
      <c r="U285" s="5">
        <v>4</v>
      </c>
      <c r="V285" s="5">
        <v>0</v>
      </c>
      <c r="W285" s="5">
        <v>1</v>
      </c>
      <c r="X285" s="5" t="s">
        <v>48</v>
      </c>
      <c r="Y285" s="5">
        <v>2</v>
      </c>
      <c r="Z285" s="5" t="s">
        <v>37</v>
      </c>
      <c r="AA285" s="5">
        <v>16.33</v>
      </c>
      <c r="AB285" s="5">
        <v>4.47</v>
      </c>
      <c r="AC285" s="5">
        <v>145.11</v>
      </c>
    </row>
    <row r="286" spans="1:29">
      <c r="A286" s="11" t="s">
        <v>663</v>
      </c>
      <c r="B286" s="5" t="s">
        <v>664</v>
      </c>
      <c r="C286" s="6">
        <v>55</v>
      </c>
      <c r="D286" s="5">
        <v>0</v>
      </c>
      <c r="E286" s="10">
        <v>5.21</v>
      </c>
      <c r="F286" s="5">
        <v>0</v>
      </c>
      <c r="G286" s="5">
        <v>173</v>
      </c>
      <c r="H286" s="6">
        <v>68</v>
      </c>
      <c r="I286" s="3">
        <f t="shared" si="5"/>
        <v>22.7204383708109</v>
      </c>
      <c r="J286" s="5">
        <v>0</v>
      </c>
      <c r="K286" s="5">
        <v>0</v>
      </c>
      <c r="L286" s="5">
        <v>0</v>
      </c>
      <c r="M286" s="5">
        <v>0</v>
      </c>
      <c r="N286">
        <v>0</v>
      </c>
      <c r="O286" s="5">
        <v>5</v>
      </c>
      <c r="P286" s="5">
        <v>5</v>
      </c>
      <c r="Q286" s="5">
        <v>1</v>
      </c>
      <c r="R286" s="5">
        <v>1</v>
      </c>
      <c r="S286" s="5">
        <v>16</v>
      </c>
      <c r="T286" s="5">
        <v>6</v>
      </c>
      <c r="U286" s="5">
        <v>5</v>
      </c>
      <c r="V286" s="5">
        <v>0</v>
      </c>
      <c r="W286" s="5">
        <v>0</v>
      </c>
      <c r="X286" t="s">
        <v>33</v>
      </c>
      <c r="Y286" s="5">
        <v>2</v>
      </c>
      <c r="Z286" s="5" t="s">
        <v>37</v>
      </c>
      <c r="AA286" s="5">
        <v>17.41</v>
      </c>
      <c r="AB286" s="5">
        <v>11.58</v>
      </c>
      <c r="AC286" s="5">
        <v>131.5</v>
      </c>
    </row>
    <row r="287" spans="1:29">
      <c r="A287" s="11" t="s">
        <v>665</v>
      </c>
      <c r="B287" s="5" t="s">
        <v>666</v>
      </c>
      <c r="C287" s="6">
        <v>59</v>
      </c>
      <c r="D287" s="5">
        <v>1</v>
      </c>
      <c r="E287" s="5">
        <v>6.22</v>
      </c>
      <c r="F287" s="5">
        <v>0</v>
      </c>
      <c r="G287" s="5">
        <v>168</v>
      </c>
      <c r="H287" s="6">
        <v>59.7</v>
      </c>
      <c r="I287" s="3">
        <f t="shared" si="5"/>
        <v>21.1522108843537</v>
      </c>
      <c r="J287" s="5">
        <v>0</v>
      </c>
      <c r="K287" s="5">
        <v>0</v>
      </c>
      <c r="L287" s="5">
        <v>1</v>
      </c>
      <c r="M287" s="5">
        <v>0</v>
      </c>
      <c r="N287">
        <v>0</v>
      </c>
      <c r="O287" s="5">
        <v>4</v>
      </c>
      <c r="P287" s="5">
        <v>5</v>
      </c>
      <c r="Q287" s="5">
        <v>1</v>
      </c>
      <c r="R287" s="5">
        <v>1</v>
      </c>
      <c r="S287" s="5">
        <v>18</v>
      </c>
      <c r="T287" s="5">
        <v>7</v>
      </c>
      <c r="U287" s="5">
        <v>3</v>
      </c>
      <c r="V287" s="5">
        <v>1</v>
      </c>
      <c r="W287" s="5">
        <v>1</v>
      </c>
      <c r="X287" t="s">
        <v>33</v>
      </c>
      <c r="Y287" s="5">
        <v>2</v>
      </c>
      <c r="Z287" s="5" t="s">
        <v>34</v>
      </c>
      <c r="AA287" s="5">
        <v>17.58</v>
      </c>
      <c r="AB287" s="5">
        <v>2.99</v>
      </c>
      <c r="AC287" s="5">
        <v>135.7</v>
      </c>
    </row>
    <row r="288" spans="1:29">
      <c r="A288" s="11" t="s">
        <v>667</v>
      </c>
      <c r="B288" s="5" t="s">
        <v>668</v>
      </c>
      <c r="C288" s="6">
        <v>68</v>
      </c>
      <c r="D288" s="5">
        <v>1</v>
      </c>
      <c r="E288" s="5">
        <v>6.98</v>
      </c>
      <c r="F288" s="5">
        <v>0</v>
      </c>
      <c r="G288" s="5">
        <v>157</v>
      </c>
      <c r="H288" s="6">
        <v>67.3</v>
      </c>
      <c r="I288" s="3">
        <f t="shared" si="5"/>
        <v>27.3033388778449</v>
      </c>
      <c r="J288" s="5">
        <v>1</v>
      </c>
      <c r="K288" s="5">
        <v>0</v>
      </c>
      <c r="L288" s="5">
        <v>0</v>
      </c>
      <c r="M288" s="5">
        <v>0</v>
      </c>
      <c r="N288">
        <v>0</v>
      </c>
      <c r="O288" s="5">
        <v>5</v>
      </c>
      <c r="P288" s="5">
        <v>5</v>
      </c>
      <c r="Q288" s="5">
        <v>1</v>
      </c>
      <c r="R288" s="5">
        <v>1</v>
      </c>
      <c r="S288" s="5">
        <v>16</v>
      </c>
      <c r="T288" s="5">
        <v>6</v>
      </c>
      <c r="U288" s="5">
        <v>4</v>
      </c>
      <c r="V288" s="5">
        <v>1</v>
      </c>
      <c r="W288" s="5">
        <v>1</v>
      </c>
      <c r="X288" s="5" t="s">
        <v>48</v>
      </c>
      <c r="Y288" s="5">
        <v>2</v>
      </c>
      <c r="Z288" s="5" t="s">
        <v>37</v>
      </c>
      <c r="AA288" s="5">
        <v>19.11</v>
      </c>
      <c r="AB288" s="5">
        <v>11.13</v>
      </c>
      <c r="AC288" s="5">
        <v>94.46</v>
      </c>
    </row>
    <row r="289" spans="1:29">
      <c r="A289" s="11" t="s">
        <v>669</v>
      </c>
      <c r="B289" s="5" t="s">
        <v>670</v>
      </c>
      <c r="C289" s="6">
        <v>44</v>
      </c>
      <c r="D289" s="5">
        <v>0</v>
      </c>
      <c r="E289" s="5">
        <v>6.94</v>
      </c>
      <c r="F289" s="5">
        <v>0</v>
      </c>
      <c r="G289" s="5">
        <v>166</v>
      </c>
      <c r="H289" s="6">
        <v>62.6</v>
      </c>
      <c r="I289" s="3">
        <f t="shared" si="5"/>
        <v>22.7173755262012</v>
      </c>
      <c r="J289" s="5">
        <v>0</v>
      </c>
      <c r="K289" s="5">
        <v>0</v>
      </c>
      <c r="L289" s="5">
        <v>0</v>
      </c>
      <c r="M289" s="5">
        <v>0</v>
      </c>
      <c r="N289">
        <v>1</v>
      </c>
      <c r="O289" s="5">
        <v>5</v>
      </c>
      <c r="P289" s="5">
        <v>5</v>
      </c>
      <c r="Q289" s="5">
        <v>1</v>
      </c>
      <c r="R289" s="5">
        <v>1</v>
      </c>
      <c r="S289" s="5">
        <v>18</v>
      </c>
      <c r="T289" s="5">
        <v>4</v>
      </c>
      <c r="U289" s="5">
        <v>5</v>
      </c>
      <c r="V289" s="5">
        <v>0</v>
      </c>
      <c r="W289" s="5">
        <v>0</v>
      </c>
      <c r="X289" s="5" t="s">
        <v>34</v>
      </c>
      <c r="Y289" s="5">
        <v>1</v>
      </c>
      <c r="Z289" s="5" t="s">
        <v>37</v>
      </c>
      <c r="AA289" s="5">
        <v>16.5</v>
      </c>
      <c r="AB289" s="5">
        <v>11.46</v>
      </c>
      <c r="AC289" s="5">
        <v>55.13</v>
      </c>
    </row>
    <row r="290" spans="1:29">
      <c r="A290" s="11" t="s">
        <v>671</v>
      </c>
      <c r="B290" s="5" t="s">
        <v>672</v>
      </c>
      <c r="C290" s="6">
        <v>58</v>
      </c>
      <c r="D290" s="5">
        <v>1</v>
      </c>
      <c r="E290" s="5">
        <v>8.79</v>
      </c>
      <c r="F290" s="5">
        <v>0</v>
      </c>
      <c r="G290" s="5">
        <v>160</v>
      </c>
      <c r="H290" s="6">
        <v>59.5</v>
      </c>
      <c r="I290" s="3">
        <f t="shared" si="5"/>
        <v>23.2421875</v>
      </c>
      <c r="J290" s="5">
        <v>0</v>
      </c>
      <c r="K290" s="5">
        <v>1</v>
      </c>
      <c r="L290" s="5">
        <v>0</v>
      </c>
      <c r="M290" s="5">
        <v>0</v>
      </c>
      <c r="N290">
        <v>0</v>
      </c>
      <c r="O290" s="5">
        <v>5</v>
      </c>
      <c r="P290" s="5">
        <v>5</v>
      </c>
      <c r="Q290" s="5">
        <v>1</v>
      </c>
      <c r="R290" s="5">
        <v>1</v>
      </c>
      <c r="S290" s="5">
        <v>13</v>
      </c>
      <c r="T290" s="5">
        <v>3</v>
      </c>
      <c r="U290" s="5">
        <v>3</v>
      </c>
      <c r="V290" s="5">
        <v>1</v>
      </c>
      <c r="W290" s="5">
        <v>0</v>
      </c>
      <c r="X290" s="5" t="s">
        <v>51</v>
      </c>
      <c r="Y290" s="5">
        <v>2</v>
      </c>
      <c r="Z290" s="5" t="s">
        <v>37</v>
      </c>
      <c r="AA290" s="5">
        <v>18.46</v>
      </c>
      <c r="AB290" s="5">
        <v>12.37</v>
      </c>
      <c r="AC290" s="5">
        <v>85.44</v>
      </c>
    </row>
    <row r="291" spans="1:29">
      <c r="A291" s="11" t="s">
        <v>673</v>
      </c>
      <c r="B291" s="5" t="s">
        <v>674</v>
      </c>
      <c r="C291" s="6">
        <v>58</v>
      </c>
      <c r="D291" s="5">
        <v>0</v>
      </c>
      <c r="E291" s="5">
        <v>6.89</v>
      </c>
      <c r="F291" s="5">
        <v>0</v>
      </c>
      <c r="G291" s="5">
        <v>177</v>
      </c>
      <c r="H291" s="6">
        <v>72</v>
      </c>
      <c r="I291" s="3">
        <f t="shared" si="5"/>
        <v>22.98190175237</v>
      </c>
      <c r="J291" s="5">
        <v>0</v>
      </c>
      <c r="K291" s="5">
        <v>0</v>
      </c>
      <c r="L291" s="5">
        <v>0</v>
      </c>
      <c r="M291" s="5">
        <v>0</v>
      </c>
      <c r="N291">
        <v>1</v>
      </c>
      <c r="O291" s="5">
        <v>5</v>
      </c>
      <c r="P291" s="5">
        <v>5</v>
      </c>
      <c r="Q291" s="5">
        <v>1</v>
      </c>
      <c r="R291" s="5">
        <v>1</v>
      </c>
      <c r="S291" s="5">
        <v>22</v>
      </c>
      <c r="T291" s="5">
        <v>4</v>
      </c>
      <c r="U291" s="5">
        <v>4</v>
      </c>
      <c r="V291" s="5">
        <v>1</v>
      </c>
      <c r="W291" s="5">
        <v>0</v>
      </c>
      <c r="X291" s="5" t="s">
        <v>48</v>
      </c>
      <c r="Y291" s="5">
        <v>2</v>
      </c>
      <c r="Z291" s="5" t="s">
        <v>37</v>
      </c>
      <c r="AA291" s="5">
        <v>18.76</v>
      </c>
      <c r="AB291" s="5">
        <v>9.07</v>
      </c>
      <c r="AC291" s="5">
        <v>79.25</v>
      </c>
    </row>
    <row r="292" spans="1:29">
      <c r="A292" s="11" t="s">
        <v>675</v>
      </c>
      <c r="B292" s="5" t="s">
        <v>676</v>
      </c>
      <c r="C292" s="6">
        <v>68</v>
      </c>
      <c r="D292" s="5">
        <v>1</v>
      </c>
      <c r="E292" s="10">
        <v>7.85</v>
      </c>
      <c r="F292" s="5">
        <v>0</v>
      </c>
      <c r="G292" s="5">
        <v>163</v>
      </c>
      <c r="H292" s="6">
        <v>60.7</v>
      </c>
      <c r="I292" s="3">
        <f t="shared" si="5"/>
        <v>22.8461741126877</v>
      </c>
      <c r="J292" s="5">
        <v>0</v>
      </c>
      <c r="K292" s="5">
        <v>1</v>
      </c>
      <c r="L292" s="5">
        <v>0</v>
      </c>
      <c r="M292" s="5">
        <v>0</v>
      </c>
      <c r="N292">
        <v>1</v>
      </c>
      <c r="O292" s="5">
        <v>5</v>
      </c>
      <c r="P292" s="5">
        <v>5</v>
      </c>
      <c r="Q292" s="5">
        <v>1</v>
      </c>
      <c r="R292" s="5">
        <v>1</v>
      </c>
      <c r="S292" s="5">
        <v>15</v>
      </c>
      <c r="T292" s="5">
        <v>6</v>
      </c>
      <c r="U292" s="5">
        <v>4</v>
      </c>
      <c r="V292" s="5">
        <v>0</v>
      </c>
      <c r="W292" s="5">
        <v>0</v>
      </c>
      <c r="X292" s="5" t="s">
        <v>51</v>
      </c>
      <c r="Y292" s="5">
        <v>2</v>
      </c>
      <c r="Z292" s="5" t="s">
        <v>37</v>
      </c>
      <c r="AA292" s="5">
        <v>18.08</v>
      </c>
      <c r="AB292" s="5">
        <v>11.3</v>
      </c>
      <c r="AC292" s="5">
        <v>101.79</v>
      </c>
    </row>
    <row r="293" spans="1:29">
      <c r="A293" s="11" t="s">
        <v>677</v>
      </c>
      <c r="B293" s="5" t="s">
        <v>678</v>
      </c>
      <c r="C293" s="6">
        <v>54</v>
      </c>
      <c r="D293" s="5">
        <v>1</v>
      </c>
      <c r="E293" s="5">
        <v>7.29</v>
      </c>
      <c r="F293" s="5">
        <v>0</v>
      </c>
      <c r="G293" s="5">
        <v>161</v>
      </c>
      <c r="H293" s="6">
        <v>56.3</v>
      </c>
      <c r="I293" s="3">
        <f t="shared" si="5"/>
        <v>21.7198410555148</v>
      </c>
      <c r="J293" s="5">
        <v>0</v>
      </c>
      <c r="K293" s="5">
        <v>0</v>
      </c>
      <c r="L293" s="5">
        <v>0</v>
      </c>
      <c r="M293" s="5">
        <v>0</v>
      </c>
      <c r="N293">
        <v>1</v>
      </c>
      <c r="O293" s="5">
        <v>5</v>
      </c>
      <c r="P293" s="5">
        <v>5</v>
      </c>
      <c r="Q293" s="5">
        <v>1</v>
      </c>
      <c r="R293" s="5">
        <v>1</v>
      </c>
      <c r="S293" s="5">
        <v>16</v>
      </c>
      <c r="T293" s="5">
        <v>3</v>
      </c>
      <c r="U293" s="5">
        <v>4</v>
      </c>
      <c r="V293" s="5">
        <v>1</v>
      </c>
      <c r="W293" s="5">
        <v>0</v>
      </c>
      <c r="X293" s="5" t="s">
        <v>48</v>
      </c>
      <c r="Y293" s="5">
        <v>2</v>
      </c>
      <c r="Z293" s="5" t="s">
        <v>37</v>
      </c>
      <c r="AA293" s="5">
        <v>17.07</v>
      </c>
      <c r="AB293" s="5">
        <v>8.41</v>
      </c>
      <c r="AC293" s="5">
        <v>154.07</v>
      </c>
    </row>
    <row r="294" spans="1:29">
      <c r="A294" s="11" t="s">
        <v>679</v>
      </c>
      <c r="B294" s="5" t="s">
        <v>680</v>
      </c>
      <c r="C294" s="6">
        <v>64</v>
      </c>
      <c r="D294" s="5">
        <v>1</v>
      </c>
      <c r="E294" s="5">
        <v>3.23</v>
      </c>
      <c r="F294" s="5">
        <v>0</v>
      </c>
      <c r="G294" s="5">
        <v>159</v>
      </c>
      <c r="H294" s="6">
        <v>62.7</v>
      </c>
      <c r="I294" s="3">
        <f t="shared" si="5"/>
        <v>24.8012341283968</v>
      </c>
      <c r="J294" s="5">
        <v>0</v>
      </c>
      <c r="K294" s="5">
        <v>0</v>
      </c>
      <c r="L294" s="5">
        <v>1</v>
      </c>
      <c r="M294" s="5">
        <v>1</v>
      </c>
      <c r="N294">
        <v>0</v>
      </c>
      <c r="O294" s="5">
        <v>5</v>
      </c>
      <c r="P294" s="5">
        <v>5</v>
      </c>
      <c r="Q294" s="5">
        <v>1</v>
      </c>
      <c r="R294" s="5">
        <v>1</v>
      </c>
      <c r="S294" s="5">
        <v>15</v>
      </c>
      <c r="T294" s="5">
        <v>6</v>
      </c>
      <c r="U294" s="5">
        <v>4</v>
      </c>
      <c r="V294" s="5">
        <v>0</v>
      </c>
      <c r="W294" s="5">
        <v>0</v>
      </c>
      <c r="X294" s="5" t="s">
        <v>48</v>
      </c>
      <c r="Y294" s="5">
        <v>2</v>
      </c>
      <c r="Z294" s="5" t="s">
        <v>33</v>
      </c>
      <c r="AA294" s="5">
        <v>18.04</v>
      </c>
      <c r="AB294" s="5">
        <v>5.66</v>
      </c>
      <c r="AC294" s="5">
        <v>46.92</v>
      </c>
    </row>
    <row r="295" spans="1:29">
      <c r="A295" s="11" t="s">
        <v>681</v>
      </c>
      <c r="B295" s="5" t="s">
        <v>682</v>
      </c>
      <c r="C295" s="6">
        <v>70</v>
      </c>
      <c r="D295" s="5">
        <v>0</v>
      </c>
      <c r="E295" s="5">
        <v>3.74</v>
      </c>
      <c r="F295" s="5">
        <v>0</v>
      </c>
      <c r="G295" s="5">
        <v>165</v>
      </c>
      <c r="H295" s="6">
        <v>59.4</v>
      </c>
      <c r="I295" s="3">
        <f t="shared" si="5"/>
        <v>21.8181818181818</v>
      </c>
      <c r="J295" s="5">
        <v>1</v>
      </c>
      <c r="K295" s="5">
        <v>0</v>
      </c>
      <c r="L295" s="5">
        <v>0</v>
      </c>
      <c r="M295" s="5">
        <v>0</v>
      </c>
      <c r="N295">
        <v>0</v>
      </c>
      <c r="O295" s="5">
        <v>5</v>
      </c>
      <c r="P295" s="5">
        <v>5</v>
      </c>
      <c r="Q295" s="5">
        <v>1</v>
      </c>
      <c r="R295" s="5">
        <v>1</v>
      </c>
      <c r="S295" s="5">
        <v>19</v>
      </c>
      <c r="T295" s="5">
        <v>5</v>
      </c>
      <c r="U295" s="5">
        <v>4</v>
      </c>
      <c r="V295" s="5">
        <v>0</v>
      </c>
      <c r="W295" s="5">
        <v>0</v>
      </c>
      <c r="X295" t="s">
        <v>33</v>
      </c>
      <c r="Y295" s="5">
        <v>2</v>
      </c>
      <c r="Z295" s="5" t="s">
        <v>37</v>
      </c>
      <c r="AA295" s="5">
        <v>19.3</v>
      </c>
      <c r="AB295" s="5">
        <v>12.94</v>
      </c>
      <c r="AC295" s="5">
        <v>111.79</v>
      </c>
    </row>
    <row r="296" spans="1:29">
      <c r="A296" s="11" t="s">
        <v>683</v>
      </c>
      <c r="B296" s="5" t="s">
        <v>684</v>
      </c>
      <c r="C296" s="6">
        <v>35</v>
      </c>
      <c r="D296" s="5">
        <v>1</v>
      </c>
      <c r="E296" s="5">
        <v>4.51</v>
      </c>
      <c r="F296" s="5">
        <v>0</v>
      </c>
      <c r="G296" s="5">
        <v>152</v>
      </c>
      <c r="H296" s="6">
        <v>46.6</v>
      </c>
      <c r="I296" s="3">
        <f t="shared" si="5"/>
        <v>20.1696675900277</v>
      </c>
      <c r="J296" s="5">
        <v>0</v>
      </c>
      <c r="K296" s="5">
        <v>0</v>
      </c>
      <c r="L296" s="5">
        <v>1</v>
      </c>
      <c r="M296" s="5">
        <v>0</v>
      </c>
      <c r="N296">
        <v>0</v>
      </c>
      <c r="O296" s="5">
        <v>5</v>
      </c>
      <c r="P296" s="5">
        <v>5</v>
      </c>
      <c r="Q296" s="5">
        <v>1</v>
      </c>
      <c r="R296" s="5">
        <v>1</v>
      </c>
      <c r="S296" s="5">
        <v>17</v>
      </c>
      <c r="T296" s="5">
        <v>5</v>
      </c>
      <c r="U296" s="5">
        <v>4</v>
      </c>
      <c r="V296" s="5">
        <v>0</v>
      </c>
      <c r="W296" s="5">
        <v>0</v>
      </c>
      <c r="X296" s="5" t="s">
        <v>48</v>
      </c>
      <c r="Y296" s="5">
        <v>3</v>
      </c>
      <c r="Z296" s="5" t="s">
        <v>37</v>
      </c>
      <c r="AA296" s="5">
        <v>19.49</v>
      </c>
      <c r="AB296" s="5">
        <v>8.58</v>
      </c>
      <c r="AC296" s="5">
        <v>57.99</v>
      </c>
    </row>
    <row r="297" spans="1:29">
      <c r="A297" s="11" t="s">
        <v>685</v>
      </c>
      <c r="B297" s="5" t="s">
        <v>686</v>
      </c>
      <c r="C297" s="6">
        <v>70</v>
      </c>
      <c r="D297" s="5">
        <v>1</v>
      </c>
      <c r="E297" s="5">
        <v>5.35</v>
      </c>
      <c r="F297" s="5">
        <v>0</v>
      </c>
      <c r="G297" s="5">
        <v>157</v>
      </c>
      <c r="H297" s="6">
        <v>54.7</v>
      </c>
      <c r="I297" s="3">
        <f t="shared" si="5"/>
        <v>22.1915696377135</v>
      </c>
      <c r="J297" s="5">
        <v>1</v>
      </c>
      <c r="K297" s="5">
        <v>0</v>
      </c>
      <c r="L297" s="5">
        <v>1</v>
      </c>
      <c r="M297" s="5">
        <v>0</v>
      </c>
      <c r="N297">
        <v>0</v>
      </c>
      <c r="O297" s="5">
        <v>5</v>
      </c>
      <c r="P297" s="5">
        <v>5</v>
      </c>
      <c r="Q297" s="5">
        <v>1</v>
      </c>
      <c r="R297" s="5">
        <v>0</v>
      </c>
      <c r="S297" s="5">
        <v>14</v>
      </c>
      <c r="T297" s="5">
        <v>4</v>
      </c>
      <c r="U297" s="5">
        <v>4</v>
      </c>
      <c r="V297" s="5">
        <v>0</v>
      </c>
      <c r="W297" s="5">
        <v>0</v>
      </c>
      <c r="X297" t="s">
        <v>33</v>
      </c>
      <c r="Y297" s="5">
        <v>2</v>
      </c>
      <c r="Z297" s="5" t="s">
        <v>37</v>
      </c>
      <c r="AA297" s="5">
        <v>21.64</v>
      </c>
      <c r="AB297" s="5">
        <v>5.07</v>
      </c>
      <c r="AC297" s="5">
        <v>72.39</v>
      </c>
    </row>
    <row r="298" spans="1:29">
      <c r="A298" s="11" t="s">
        <v>687</v>
      </c>
      <c r="B298" s="5" t="s">
        <v>688</v>
      </c>
      <c r="C298" s="6">
        <v>45</v>
      </c>
      <c r="D298" s="5">
        <v>1</v>
      </c>
      <c r="E298" s="10">
        <v>3.45</v>
      </c>
      <c r="F298" s="5">
        <v>0</v>
      </c>
      <c r="G298" s="5">
        <v>163</v>
      </c>
      <c r="H298" s="6">
        <v>57.3</v>
      </c>
      <c r="I298" s="3">
        <f t="shared" si="5"/>
        <v>21.5664872595882</v>
      </c>
      <c r="J298" s="5">
        <v>1</v>
      </c>
      <c r="K298" s="5">
        <v>0</v>
      </c>
      <c r="L298" s="5">
        <v>0</v>
      </c>
      <c r="M298" s="5">
        <v>0</v>
      </c>
      <c r="N298">
        <v>1</v>
      </c>
      <c r="O298" s="5">
        <v>5</v>
      </c>
      <c r="P298" s="5">
        <v>5</v>
      </c>
      <c r="Q298" s="5">
        <v>1</v>
      </c>
      <c r="R298" s="5">
        <v>0</v>
      </c>
      <c r="S298" s="5">
        <v>20</v>
      </c>
      <c r="T298" s="5">
        <v>4</v>
      </c>
      <c r="U298" s="5">
        <v>4</v>
      </c>
      <c r="V298" s="5">
        <v>1</v>
      </c>
      <c r="W298" s="5">
        <v>0</v>
      </c>
      <c r="X298" s="5" t="s">
        <v>51</v>
      </c>
      <c r="Y298" s="5">
        <v>2</v>
      </c>
      <c r="Z298" s="5" t="s">
        <v>37</v>
      </c>
      <c r="AA298" s="5">
        <v>15.46</v>
      </c>
      <c r="AB298" s="5">
        <v>7.59</v>
      </c>
      <c r="AC298" s="5">
        <v>130.25</v>
      </c>
    </row>
    <row r="299" spans="1:29">
      <c r="A299" s="11" t="s">
        <v>689</v>
      </c>
      <c r="B299" s="5" t="s">
        <v>690</v>
      </c>
      <c r="C299" s="6">
        <v>44</v>
      </c>
      <c r="D299" s="5">
        <v>0</v>
      </c>
      <c r="E299" s="5">
        <v>8.73</v>
      </c>
      <c r="F299" s="5">
        <v>0</v>
      </c>
      <c r="G299" s="5">
        <v>162</v>
      </c>
      <c r="H299" s="6">
        <v>55.2</v>
      </c>
      <c r="I299" s="3">
        <f t="shared" si="5"/>
        <v>21.0333790580704</v>
      </c>
      <c r="J299" s="5">
        <v>0</v>
      </c>
      <c r="K299" s="5">
        <v>0</v>
      </c>
      <c r="L299" s="5">
        <v>1</v>
      </c>
      <c r="M299" s="5">
        <v>0</v>
      </c>
      <c r="N299">
        <v>0</v>
      </c>
      <c r="O299" s="5">
        <v>5</v>
      </c>
      <c r="P299" s="5">
        <v>5</v>
      </c>
      <c r="Q299" s="5">
        <v>1</v>
      </c>
      <c r="R299" s="5">
        <v>1</v>
      </c>
      <c r="S299" s="5">
        <v>20</v>
      </c>
      <c r="T299" s="5">
        <v>6</v>
      </c>
      <c r="U299" s="5">
        <v>4</v>
      </c>
      <c r="V299" s="5">
        <v>1</v>
      </c>
      <c r="W299" s="5">
        <v>1</v>
      </c>
      <c r="X299" s="5" t="s">
        <v>48</v>
      </c>
      <c r="Y299" s="5">
        <v>2</v>
      </c>
      <c r="Z299" s="5" t="s">
        <v>37</v>
      </c>
      <c r="AA299" s="5">
        <v>16.67</v>
      </c>
      <c r="AB299" s="5">
        <v>7.7</v>
      </c>
      <c r="AC299" s="5">
        <v>52.35</v>
      </c>
    </row>
    <row r="300" spans="1:29">
      <c r="A300" s="11" t="s">
        <v>691</v>
      </c>
      <c r="B300" s="5" t="s">
        <v>692</v>
      </c>
      <c r="C300" s="6">
        <v>30</v>
      </c>
      <c r="D300" s="5">
        <v>0</v>
      </c>
      <c r="E300" s="10">
        <v>2.5</v>
      </c>
      <c r="F300" s="5">
        <v>0</v>
      </c>
      <c r="G300" s="5">
        <v>164</v>
      </c>
      <c r="H300" s="6">
        <v>63.8</v>
      </c>
      <c r="I300" s="3">
        <f t="shared" si="5"/>
        <v>23.720999405116</v>
      </c>
      <c r="J300" s="5">
        <v>1</v>
      </c>
      <c r="K300" s="5">
        <v>0</v>
      </c>
      <c r="L300" s="5">
        <v>0</v>
      </c>
      <c r="M300" s="5">
        <v>0</v>
      </c>
      <c r="N300">
        <v>0</v>
      </c>
      <c r="O300" s="5">
        <v>5</v>
      </c>
      <c r="P300" s="5">
        <v>5</v>
      </c>
      <c r="Q300" s="5">
        <v>1</v>
      </c>
      <c r="R300" s="5">
        <v>0</v>
      </c>
      <c r="S300" s="5">
        <v>17</v>
      </c>
      <c r="T300" s="5">
        <v>5</v>
      </c>
      <c r="U300" s="5">
        <v>4</v>
      </c>
      <c r="V300" s="5">
        <v>0</v>
      </c>
      <c r="W300" s="5">
        <v>0</v>
      </c>
      <c r="X300" t="s">
        <v>33</v>
      </c>
      <c r="Y300" s="5">
        <v>2</v>
      </c>
      <c r="Z300" s="5" t="s">
        <v>37</v>
      </c>
      <c r="AA300" s="5">
        <v>14.09</v>
      </c>
      <c r="AB300" s="5">
        <v>10.08</v>
      </c>
      <c r="AC300" s="5">
        <v>138.07</v>
      </c>
    </row>
    <row r="301" spans="1:29">
      <c r="A301" s="11" t="s">
        <v>693</v>
      </c>
      <c r="B301" s="5" t="s">
        <v>694</v>
      </c>
      <c r="C301" s="6">
        <v>47</v>
      </c>
      <c r="D301" s="5">
        <v>0</v>
      </c>
      <c r="E301" s="5">
        <v>9.98</v>
      </c>
      <c r="F301" s="5">
        <v>0</v>
      </c>
      <c r="G301" s="5">
        <v>155</v>
      </c>
      <c r="H301" s="6">
        <v>48.5</v>
      </c>
      <c r="I301" s="3">
        <f t="shared" si="5"/>
        <v>20.1873048907388</v>
      </c>
      <c r="J301" s="5">
        <v>0</v>
      </c>
      <c r="K301" s="5">
        <v>0</v>
      </c>
      <c r="L301" s="5">
        <v>0</v>
      </c>
      <c r="M301" s="5">
        <v>0</v>
      </c>
      <c r="N301">
        <v>1</v>
      </c>
      <c r="O301" s="5">
        <v>5</v>
      </c>
      <c r="P301" s="5">
        <v>5</v>
      </c>
      <c r="Q301" s="5">
        <v>1</v>
      </c>
      <c r="R301" s="5">
        <v>1</v>
      </c>
      <c r="S301" s="5">
        <v>15</v>
      </c>
      <c r="T301" s="5">
        <v>4</v>
      </c>
      <c r="U301" s="5">
        <v>3</v>
      </c>
      <c r="V301" s="5">
        <v>0</v>
      </c>
      <c r="W301" s="5">
        <v>1</v>
      </c>
      <c r="X301" t="s">
        <v>33</v>
      </c>
      <c r="Y301" s="5">
        <v>2</v>
      </c>
      <c r="Z301" s="5" t="s">
        <v>37</v>
      </c>
      <c r="AA301" s="5">
        <v>19.69</v>
      </c>
      <c r="AB301" s="5">
        <v>15.13</v>
      </c>
      <c r="AC301" s="5">
        <v>45.12</v>
      </c>
    </row>
    <row r="302" spans="1:29">
      <c r="A302" s="11" t="s">
        <v>695</v>
      </c>
      <c r="B302" s="5" t="s">
        <v>696</v>
      </c>
      <c r="C302" s="6">
        <v>57</v>
      </c>
      <c r="D302" s="5">
        <v>0</v>
      </c>
      <c r="E302" s="10">
        <v>5.8</v>
      </c>
      <c r="F302" s="5">
        <v>0</v>
      </c>
      <c r="G302" s="5">
        <v>168</v>
      </c>
      <c r="H302" s="6">
        <v>82.4</v>
      </c>
      <c r="I302" s="3">
        <f t="shared" si="5"/>
        <v>29.1950113378685</v>
      </c>
      <c r="J302" s="5">
        <v>0</v>
      </c>
      <c r="K302" s="5">
        <v>1</v>
      </c>
      <c r="L302" s="5">
        <v>0</v>
      </c>
      <c r="M302" s="5">
        <v>0</v>
      </c>
      <c r="N302">
        <v>1</v>
      </c>
      <c r="O302" s="5">
        <v>5</v>
      </c>
      <c r="P302" s="5">
        <v>5</v>
      </c>
      <c r="Q302" s="5">
        <v>1</v>
      </c>
      <c r="R302" s="5">
        <v>1</v>
      </c>
      <c r="S302" s="5">
        <v>22</v>
      </c>
      <c r="T302" s="5">
        <v>6</v>
      </c>
      <c r="U302" s="5">
        <v>3</v>
      </c>
      <c r="V302" s="5">
        <v>0</v>
      </c>
      <c r="W302" s="5">
        <v>1</v>
      </c>
      <c r="X302" s="5" t="s">
        <v>48</v>
      </c>
      <c r="Y302" s="5">
        <v>2</v>
      </c>
      <c r="Z302" s="5" t="s">
        <v>33</v>
      </c>
      <c r="AA302" s="5">
        <v>16.9</v>
      </c>
      <c r="AB302" s="5">
        <v>10.24</v>
      </c>
      <c r="AC302" s="5">
        <v>135.08</v>
      </c>
    </row>
    <row r="303" spans="1:29">
      <c r="A303" s="11" t="s">
        <v>697</v>
      </c>
      <c r="B303" s="5" t="s">
        <v>698</v>
      </c>
      <c r="C303" s="6">
        <v>52</v>
      </c>
      <c r="D303" s="5">
        <v>0</v>
      </c>
      <c r="E303" s="5">
        <v>9.19</v>
      </c>
      <c r="F303" s="5">
        <v>0</v>
      </c>
      <c r="G303" s="5">
        <v>153</v>
      </c>
      <c r="H303" s="6">
        <v>48.3</v>
      </c>
      <c r="I303" s="3">
        <f t="shared" si="5"/>
        <v>20.6330898372421</v>
      </c>
      <c r="J303" s="5">
        <v>0</v>
      </c>
      <c r="K303" s="5">
        <v>0</v>
      </c>
      <c r="L303" s="5">
        <v>1</v>
      </c>
      <c r="M303" s="5">
        <v>0</v>
      </c>
      <c r="N303">
        <v>1</v>
      </c>
      <c r="O303" s="5">
        <v>5</v>
      </c>
      <c r="P303" s="5">
        <v>5</v>
      </c>
      <c r="Q303" s="5">
        <v>1</v>
      </c>
      <c r="R303" s="5">
        <v>1</v>
      </c>
      <c r="S303" s="5">
        <v>19</v>
      </c>
      <c r="T303" s="5">
        <v>6</v>
      </c>
      <c r="U303" s="5">
        <v>3</v>
      </c>
      <c r="V303" s="5">
        <v>0</v>
      </c>
      <c r="W303" s="5">
        <v>0</v>
      </c>
      <c r="X303" t="s">
        <v>33</v>
      </c>
      <c r="Y303" s="5">
        <v>2</v>
      </c>
      <c r="Z303" s="5" t="s">
        <v>37</v>
      </c>
      <c r="AA303" s="5">
        <v>18.09</v>
      </c>
      <c r="AB303" s="5">
        <v>9.4</v>
      </c>
      <c r="AC303" s="5">
        <v>36.33</v>
      </c>
    </row>
    <row r="304" spans="1:29">
      <c r="A304" s="11" t="s">
        <v>699</v>
      </c>
      <c r="B304" s="5" t="s">
        <v>700</v>
      </c>
      <c r="C304" s="6">
        <v>51</v>
      </c>
      <c r="D304" s="5">
        <v>0</v>
      </c>
      <c r="E304" s="5">
        <v>5.58</v>
      </c>
      <c r="F304" s="5">
        <v>0</v>
      </c>
      <c r="G304" s="5">
        <v>166</v>
      </c>
      <c r="H304" s="6">
        <v>63</v>
      </c>
      <c r="I304" s="3">
        <f t="shared" si="5"/>
        <v>22.8625344752504</v>
      </c>
      <c r="J304" s="5">
        <v>1</v>
      </c>
      <c r="K304" s="5">
        <v>0</v>
      </c>
      <c r="L304" s="5">
        <v>1</v>
      </c>
      <c r="M304" s="5">
        <v>0</v>
      </c>
      <c r="N304">
        <v>0</v>
      </c>
      <c r="O304" s="5">
        <v>5</v>
      </c>
      <c r="P304" s="5">
        <v>5</v>
      </c>
      <c r="Q304" s="5">
        <v>1</v>
      </c>
      <c r="R304" s="5">
        <v>1</v>
      </c>
      <c r="S304" s="5">
        <v>13</v>
      </c>
      <c r="T304" s="5">
        <v>3</v>
      </c>
      <c r="U304" s="5">
        <v>3</v>
      </c>
      <c r="V304" s="5">
        <v>0</v>
      </c>
      <c r="W304" s="5">
        <v>0</v>
      </c>
      <c r="X304" s="5" t="s">
        <v>34</v>
      </c>
      <c r="Y304" s="5">
        <v>2</v>
      </c>
      <c r="Z304" s="5" t="s">
        <v>37</v>
      </c>
      <c r="AA304" s="5">
        <v>16.31</v>
      </c>
      <c r="AB304" s="5">
        <v>15.42</v>
      </c>
      <c r="AC304" s="5">
        <v>77.84</v>
      </c>
    </row>
    <row r="305" spans="1:29">
      <c r="A305" s="11" t="s">
        <v>701</v>
      </c>
      <c r="B305" s="5" t="s">
        <v>702</v>
      </c>
      <c r="C305" s="6">
        <v>44</v>
      </c>
      <c r="D305" s="5">
        <v>0</v>
      </c>
      <c r="E305" s="10">
        <v>3.9</v>
      </c>
      <c r="F305" s="5">
        <v>0</v>
      </c>
      <c r="G305" s="5">
        <v>163</v>
      </c>
      <c r="H305" s="6">
        <v>62.5</v>
      </c>
      <c r="I305" s="3">
        <f t="shared" si="5"/>
        <v>23.523655387858</v>
      </c>
      <c r="J305" s="5">
        <v>0</v>
      </c>
      <c r="K305" s="5">
        <v>0</v>
      </c>
      <c r="L305" s="5">
        <v>0</v>
      </c>
      <c r="M305" s="5">
        <v>0</v>
      </c>
      <c r="N305">
        <v>0</v>
      </c>
      <c r="O305" s="5">
        <v>5</v>
      </c>
      <c r="P305" s="5">
        <v>5</v>
      </c>
      <c r="Q305" s="5">
        <v>1</v>
      </c>
      <c r="R305" s="5">
        <v>1</v>
      </c>
      <c r="S305" s="5">
        <v>22</v>
      </c>
      <c r="T305" s="5">
        <v>6</v>
      </c>
      <c r="U305" s="5">
        <v>3</v>
      </c>
      <c r="V305" s="5">
        <v>0</v>
      </c>
      <c r="W305" s="5">
        <v>0</v>
      </c>
      <c r="X305" s="5" t="s">
        <v>34</v>
      </c>
      <c r="Y305" s="5">
        <v>2</v>
      </c>
      <c r="Z305" s="5" t="s">
        <v>37</v>
      </c>
      <c r="AA305" s="5">
        <v>16.92</v>
      </c>
      <c r="AB305" s="5">
        <v>11.46</v>
      </c>
      <c r="AC305" s="5">
        <v>189.85</v>
      </c>
    </row>
    <row r="306" spans="1:29">
      <c r="A306" s="11" t="s">
        <v>703</v>
      </c>
      <c r="B306" s="5" t="s">
        <v>704</v>
      </c>
      <c r="C306" s="6">
        <v>67</v>
      </c>
      <c r="D306" s="5">
        <v>0</v>
      </c>
      <c r="E306" s="10">
        <v>6.75</v>
      </c>
      <c r="F306" s="5">
        <v>0</v>
      </c>
      <c r="G306" s="5">
        <v>151</v>
      </c>
      <c r="H306" s="6">
        <v>66.3</v>
      </c>
      <c r="I306" s="3">
        <f t="shared" si="5"/>
        <v>29.0776720319284</v>
      </c>
      <c r="J306" s="5">
        <v>1</v>
      </c>
      <c r="K306" s="5">
        <v>0</v>
      </c>
      <c r="L306" s="5">
        <v>0</v>
      </c>
      <c r="M306" s="5">
        <v>0</v>
      </c>
      <c r="N306">
        <v>0</v>
      </c>
      <c r="O306" s="5">
        <v>5</v>
      </c>
      <c r="P306" s="5">
        <v>5</v>
      </c>
      <c r="Q306" s="5">
        <v>1</v>
      </c>
      <c r="R306" s="5">
        <v>1</v>
      </c>
      <c r="S306" s="5">
        <v>14</v>
      </c>
      <c r="T306" s="5">
        <v>8</v>
      </c>
      <c r="U306" s="5">
        <v>5</v>
      </c>
      <c r="V306" s="5">
        <v>1</v>
      </c>
      <c r="W306" s="5">
        <v>0</v>
      </c>
      <c r="X306" s="5" t="s">
        <v>34</v>
      </c>
      <c r="Y306" s="5">
        <v>1</v>
      </c>
      <c r="Z306" s="5" t="s">
        <v>37</v>
      </c>
      <c r="AA306" s="5">
        <v>20.33</v>
      </c>
      <c r="AB306" s="5">
        <v>9.52</v>
      </c>
      <c r="AC306" s="5">
        <v>181.48</v>
      </c>
    </row>
    <row r="307" spans="1:29">
      <c r="A307" s="11" t="s">
        <v>705</v>
      </c>
      <c r="B307" s="5" t="s">
        <v>706</v>
      </c>
      <c r="C307" s="6">
        <v>68</v>
      </c>
      <c r="D307" s="5">
        <v>0</v>
      </c>
      <c r="E307" s="5">
        <v>9.31</v>
      </c>
      <c r="F307" s="5">
        <v>0</v>
      </c>
      <c r="G307" s="5">
        <v>172</v>
      </c>
      <c r="H307" s="6">
        <v>59.1</v>
      </c>
      <c r="I307" s="3">
        <f t="shared" si="5"/>
        <v>19.9770146024878</v>
      </c>
      <c r="J307" s="5">
        <v>1</v>
      </c>
      <c r="K307" s="5">
        <v>0</v>
      </c>
      <c r="L307" s="5">
        <v>0</v>
      </c>
      <c r="M307" s="5">
        <v>0</v>
      </c>
      <c r="N307">
        <v>0</v>
      </c>
      <c r="O307" s="5">
        <v>5</v>
      </c>
      <c r="P307" s="5">
        <v>5</v>
      </c>
      <c r="Q307" s="5">
        <v>1</v>
      </c>
      <c r="R307" s="5">
        <v>1</v>
      </c>
      <c r="S307" s="5">
        <v>22</v>
      </c>
      <c r="T307" s="5">
        <v>6</v>
      </c>
      <c r="U307" s="5">
        <v>3</v>
      </c>
      <c r="V307" s="5">
        <v>0</v>
      </c>
      <c r="W307" s="5">
        <v>0</v>
      </c>
      <c r="X307" s="5" t="s">
        <v>48</v>
      </c>
      <c r="Y307" s="5">
        <v>2</v>
      </c>
      <c r="Z307" s="5" t="s">
        <v>37</v>
      </c>
      <c r="AA307" s="5">
        <v>19.17</v>
      </c>
      <c r="AB307" s="5">
        <v>7.56</v>
      </c>
      <c r="AC307" s="5">
        <v>86.98</v>
      </c>
    </row>
    <row r="308" spans="1:29">
      <c r="A308" s="11" t="s">
        <v>707</v>
      </c>
      <c r="B308" s="5" t="s">
        <v>708</v>
      </c>
      <c r="C308" s="6">
        <v>62</v>
      </c>
      <c r="D308" s="5">
        <v>1</v>
      </c>
      <c r="E308" s="5">
        <v>6.89</v>
      </c>
      <c r="F308" s="5">
        <v>0</v>
      </c>
      <c r="G308" s="5">
        <v>158</v>
      </c>
      <c r="H308" s="6">
        <v>59.9</v>
      </c>
      <c r="I308" s="3">
        <f t="shared" si="5"/>
        <v>23.9945521551033</v>
      </c>
      <c r="J308" s="5">
        <v>0</v>
      </c>
      <c r="K308" s="5">
        <v>0</v>
      </c>
      <c r="L308" s="5">
        <v>1</v>
      </c>
      <c r="M308" s="5">
        <v>0</v>
      </c>
      <c r="N308">
        <v>1</v>
      </c>
      <c r="O308" s="5">
        <v>5</v>
      </c>
      <c r="P308" s="5">
        <v>5</v>
      </c>
      <c r="Q308" s="5">
        <v>1</v>
      </c>
      <c r="R308" s="5">
        <v>1</v>
      </c>
      <c r="S308" s="5">
        <v>18</v>
      </c>
      <c r="T308" s="5">
        <v>2</v>
      </c>
      <c r="U308" s="5">
        <v>4</v>
      </c>
      <c r="V308" s="5">
        <v>1</v>
      </c>
      <c r="W308" s="5">
        <v>0</v>
      </c>
      <c r="X308" t="s">
        <v>33</v>
      </c>
      <c r="Y308" s="5">
        <v>2</v>
      </c>
      <c r="Z308" s="5" t="s">
        <v>37</v>
      </c>
      <c r="AA308" s="5">
        <v>17.39</v>
      </c>
      <c r="AB308" s="5">
        <v>9.69</v>
      </c>
      <c r="AC308" s="5">
        <v>122.73</v>
      </c>
    </row>
    <row r="309" spans="1:29">
      <c r="A309" s="11" t="s">
        <v>709</v>
      </c>
      <c r="B309" s="5" t="s">
        <v>710</v>
      </c>
      <c r="C309" s="6">
        <v>35</v>
      </c>
      <c r="D309" s="5">
        <v>1</v>
      </c>
      <c r="E309" s="5">
        <v>5.44</v>
      </c>
      <c r="F309" s="5">
        <v>0</v>
      </c>
      <c r="G309" s="5">
        <v>167</v>
      </c>
      <c r="H309" s="6">
        <v>73.3</v>
      </c>
      <c r="I309" s="3">
        <f t="shared" si="5"/>
        <v>26.28276381369</v>
      </c>
      <c r="J309" s="5">
        <v>1</v>
      </c>
      <c r="K309" s="5">
        <v>0</v>
      </c>
      <c r="L309" s="5">
        <v>0</v>
      </c>
      <c r="M309" s="5">
        <v>0</v>
      </c>
      <c r="N309">
        <v>0</v>
      </c>
      <c r="O309" s="5">
        <v>5</v>
      </c>
      <c r="P309" s="5">
        <v>5</v>
      </c>
      <c r="Q309" s="5">
        <v>1</v>
      </c>
      <c r="R309" s="5">
        <v>0</v>
      </c>
      <c r="S309" s="5">
        <v>21</v>
      </c>
      <c r="T309" s="5">
        <v>5</v>
      </c>
      <c r="U309" s="5">
        <v>3</v>
      </c>
      <c r="V309" s="5">
        <v>0</v>
      </c>
      <c r="W309" s="5">
        <v>0</v>
      </c>
      <c r="X309" t="s">
        <v>33</v>
      </c>
      <c r="Y309" s="5">
        <v>2</v>
      </c>
      <c r="Z309" s="5" t="s">
        <v>34</v>
      </c>
      <c r="AA309" s="5">
        <v>19.33</v>
      </c>
      <c r="AB309" s="5">
        <v>8.66</v>
      </c>
      <c r="AC309" s="5">
        <v>159</v>
      </c>
    </row>
    <row r="310" spans="1:29">
      <c r="A310" s="11" t="s">
        <v>711</v>
      </c>
      <c r="B310" s="5" t="s">
        <v>712</v>
      </c>
      <c r="C310" s="6">
        <v>83</v>
      </c>
      <c r="D310" s="5">
        <v>1</v>
      </c>
      <c r="E310" s="5">
        <v>3.43</v>
      </c>
      <c r="F310" s="5">
        <v>0</v>
      </c>
      <c r="G310" s="5">
        <v>165</v>
      </c>
      <c r="H310" s="6">
        <v>62.1</v>
      </c>
      <c r="I310" s="3">
        <f t="shared" si="5"/>
        <v>22.8099173553719</v>
      </c>
      <c r="J310" s="5">
        <v>0</v>
      </c>
      <c r="K310" s="5">
        <v>0</v>
      </c>
      <c r="L310" s="5">
        <v>0</v>
      </c>
      <c r="M310" s="5">
        <v>0</v>
      </c>
      <c r="N310">
        <v>1</v>
      </c>
      <c r="O310" s="5">
        <v>5</v>
      </c>
      <c r="P310" s="5">
        <v>5</v>
      </c>
      <c r="Q310" s="5">
        <v>1</v>
      </c>
      <c r="R310" s="5">
        <v>1</v>
      </c>
      <c r="S310" s="5">
        <v>10</v>
      </c>
      <c r="T310" s="5">
        <v>2</v>
      </c>
      <c r="U310" s="5">
        <v>4</v>
      </c>
      <c r="V310" s="5">
        <v>0</v>
      </c>
      <c r="W310" s="5">
        <v>0</v>
      </c>
      <c r="X310" s="5" t="s">
        <v>34</v>
      </c>
      <c r="Y310" s="5">
        <v>2</v>
      </c>
      <c r="Z310" s="5" t="s">
        <v>37</v>
      </c>
      <c r="AA310" s="5">
        <v>19.38</v>
      </c>
      <c r="AB310" s="5">
        <v>9.09</v>
      </c>
      <c r="AC310" s="5">
        <v>135.71</v>
      </c>
    </row>
    <row r="311" spans="1:29">
      <c r="A311" s="11" t="s">
        <v>713</v>
      </c>
      <c r="B311" s="5" t="s">
        <v>714</v>
      </c>
      <c r="C311" s="6">
        <v>59</v>
      </c>
      <c r="D311" s="5">
        <v>1</v>
      </c>
      <c r="E311" s="5">
        <v>9.48</v>
      </c>
      <c r="F311" s="5">
        <v>0</v>
      </c>
      <c r="G311" s="5">
        <v>155</v>
      </c>
      <c r="H311" s="6">
        <v>49.6</v>
      </c>
      <c r="I311" s="3">
        <f t="shared" si="5"/>
        <v>20.6451612903226</v>
      </c>
      <c r="J311" s="5">
        <v>0</v>
      </c>
      <c r="K311" s="5">
        <v>0</v>
      </c>
      <c r="L311" s="5">
        <v>0</v>
      </c>
      <c r="M311" s="5">
        <v>0</v>
      </c>
      <c r="N311">
        <v>1</v>
      </c>
      <c r="O311" s="5">
        <v>5</v>
      </c>
      <c r="P311" s="5">
        <v>5</v>
      </c>
      <c r="Q311" s="5">
        <v>1</v>
      </c>
      <c r="R311" s="5">
        <v>1</v>
      </c>
      <c r="S311" s="5">
        <v>13</v>
      </c>
      <c r="T311" s="5">
        <v>8</v>
      </c>
      <c r="U311" s="5">
        <v>5</v>
      </c>
      <c r="V311" s="5">
        <v>0</v>
      </c>
      <c r="W311" s="5">
        <v>0</v>
      </c>
      <c r="X311" t="s">
        <v>33</v>
      </c>
      <c r="Y311" s="5">
        <v>2</v>
      </c>
      <c r="Z311" s="5" t="s">
        <v>37</v>
      </c>
      <c r="AA311" s="5">
        <v>16.78</v>
      </c>
      <c r="AB311" s="5">
        <v>12.36</v>
      </c>
      <c r="AC311" s="5">
        <v>93.18</v>
      </c>
    </row>
    <row r="312" spans="1:29">
      <c r="G312" s="5"/>
    </row>
    <row r="313" spans="1:29">
      <c r="G313" s="5"/>
    </row>
  </sheetData>
  <autoFilter xmlns:etc="http://www.wps.cn/officeDocument/2017/etCustomData" ref="A1:AE3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糊涂.</cp:lastModifiedBy>
  <dcterms:created xsi:type="dcterms:W3CDTF">2015-06-05T18:19:00Z</dcterms:created>
  <dcterms:modified xsi:type="dcterms:W3CDTF">2025-12-26T02:53:58Z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5FD93ED4D31C458C811301E4C903BDF2_13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